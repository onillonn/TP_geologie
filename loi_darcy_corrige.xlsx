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6BF66884-D839-4E23-AF68-53FAB7D597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1" l="1"/>
  <c r="S8" i="1" s="1"/>
  <c r="U8" i="1" s="1"/>
  <c r="J8" i="1"/>
  <c r="P8" i="1"/>
  <c r="W8" i="1" s="1"/>
  <c r="X8" i="1" s="1"/>
  <c r="Q8" i="1"/>
  <c r="Q12" i="1"/>
  <c r="P12" i="1"/>
  <c r="W12" i="1" s="1"/>
  <c r="J12" i="1"/>
  <c r="I12" i="1"/>
  <c r="S12" i="1" s="1"/>
  <c r="U12" i="1" s="1"/>
  <c r="Q11" i="1"/>
  <c r="Q9" i="1"/>
  <c r="Q7" i="1"/>
  <c r="Q6" i="1"/>
  <c r="Q5" i="1"/>
  <c r="Q3" i="1"/>
  <c r="Q2" i="1"/>
  <c r="Q4" i="1"/>
  <c r="Q10" i="1"/>
  <c r="I11" i="1"/>
  <c r="S11" i="1" s="1"/>
  <c r="I9" i="1"/>
  <c r="S9" i="1" s="1"/>
  <c r="U9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0" i="1"/>
  <c r="S10" i="1" s="1"/>
  <c r="U10" i="1" s="1"/>
  <c r="J11" i="1"/>
  <c r="J9" i="1"/>
  <c r="J7" i="1"/>
  <c r="J6" i="1"/>
  <c r="J5" i="1"/>
  <c r="J3" i="1"/>
  <c r="J2" i="1"/>
  <c r="J4" i="1"/>
  <c r="J10" i="1"/>
  <c r="P11" i="1"/>
  <c r="W11" i="1" s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2" i="1"/>
  <c r="T12" i="1"/>
  <c r="V12" i="1" s="1"/>
  <c r="X5" i="1"/>
  <c r="X6" i="1"/>
  <c r="X3" i="1"/>
  <c r="S6" i="1"/>
  <c r="U6" i="1" s="1"/>
  <c r="T7" i="1"/>
  <c r="U7" i="1"/>
  <c r="T11" i="1"/>
  <c r="X9" i="1"/>
  <c r="X11" i="1"/>
  <c r="X10" i="1"/>
  <c r="X4" i="1"/>
  <c r="X2" i="1"/>
  <c r="T9" i="1"/>
  <c r="V9" i="1" s="1"/>
  <c r="T4" i="1"/>
  <c r="V4" i="1" s="1"/>
  <c r="T5" i="1"/>
  <c r="V5" i="1" s="1"/>
  <c r="U11" i="1"/>
  <c r="T3" i="1"/>
  <c r="V3" i="1" s="1"/>
  <c r="T10" i="1"/>
  <c r="V10" i="1" s="1"/>
  <c r="T2" i="1"/>
  <c r="V7" i="1" l="1"/>
  <c r="T6" i="1"/>
  <c r="V6" i="1" s="1"/>
  <c r="V11" i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<sst xmlns="http://schemas.openxmlformats.org/spreadsheetml/2006/main" count="29" uniqueCount="28">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</sst>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7"/>
  <sheetViews>
    <sheetView tabSelected="1" workbookViewId="0">
      <selection activeCell="H19" sqref="H19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2" si="0">G2-F2</f>
        <v>75.5</v>
      </c>
      <c r="J2">
        <f t="shared" ref="J2:J12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2" si="2">L2-M2</f>
        <v>145</v>
      </c>
      <c r="Q2">
        <f t="shared" ref="Q2:Q12" si="3">O2+N2</f>
        <v>4</v>
      </c>
      <c r="S2">
        <f t="shared" ref="S2:S12" si="4">(I2/10^3)/($AD$2*C2)</f>
        <v>2.5050100200400804E-6</v>
      </c>
      <c r="T2">
        <f t="shared" ref="T2:T12" si="5">S2*SQRT((J2/I2)^2+(D2/C2)^2+($AE$2/$AD$2)^2)</f>
        <v>3.4292054268838759E-8</v>
      </c>
      <c r="U2">
        <f t="shared" ref="U2:U12" si="6">S2/($Z$2/10^6)</f>
        <v>5.964309571524001E-4</v>
      </c>
      <c r="V2">
        <f t="shared" ref="V2:V12" si="7">U2*SQRT((T2/S2)^2+($AA$2/$Z$2)^2)</f>
        <v>1.6380612974879218E-5</v>
      </c>
      <c r="W2">
        <f t="shared" ref="W2:W12" si="8">P2/$AB$2</f>
        <v>0.4380664652567976</v>
      </c>
      <c r="X2">
        <f t="shared" ref="X2:X12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6"/>
        <v>1.9069832609956339E-3</v>
      </c>
      <c r="V8">
        <f t="shared" si="7"/>
        <v>4.6578420007594534E-5</v>
      </c>
      <c r="W8">
        <f t="shared" si="8"/>
        <v>1.3293051359516617</v>
      </c>
      <c r="X8">
        <f t="shared" si="9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6"/>
        <v>2.4296083806408806E-3</v>
      </c>
      <c r="V9">
        <f t="shared" si="7"/>
        <v>5.9008386661903181E-5</v>
      </c>
      <c r="W9">
        <f t="shared" si="8"/>
        <v>1.7401812688821752</v>
      </c>
      <c r="X9">
        <f t="shared" si="9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6"/>
        <v>2.6603959799297852E-3</v>
      </c>
      <c r="V10">
        <f t="shared" si="7"/>
        <v>6.4479333191259661E-5</v>
      </c>
      <c r="W10">
        <f t="shared" si="8"/>
        <v>1.8006042296072509</v>
      </c>
      <c r="X10">
        <f t="shared" si="9"/>
        <v>1.2386907336791842E-2</v>
      </c>
    </row>
    <row r="11" spans="1:31" x14ac:dyDescent="0.3">
      <c r="A11">
        <v>26</v>
      </c>
      <c r="B11">
        <v>3</v>
      </c>
      <c r="C11">
        <v>30</v>
      </c>
      <c r="D11">
        <v>0.1</v>
      </c>
      <c r="F11">
        <v>199.5</v>
      </c>
      <c r="G11">
        <v>576.5</v>
      </c>
      <c r="H11">
        <v>0.5</v>
      </c>
      <c r="I11">
        <f t="shared" si="0"/>
        <v>377</v>
      </c>
      <c r="J11">
        <f t="shared" si="1"/>
        <v>1</v>
      </c>
      <c r="L11">
        <v>926</v>
      </c>
      <c r="M11">
        <v>174</v>
      </c>
      <c r="N11">
        <v>2</v>
      </c>
      <c r="O11">
        <v>10</v>
      </c>
      <c r="P11">
        <f t="shared" si="2"/>
        <v>752</v>
      </c>
      <c r="Q11">
        <f t="shared" si="3"/>
        <v>12</v>
      </c>
      <c r="S11">
        <f t="shared" si="4"/>
        <v>1.259185036740147E-5</v>
      </c>
      <c r="T11">
        <f t="shared" si="5"/>
        <v>5.5104251991726919E-8</v>
      </c>
      <c r="U11">
        <f t="shared" si="6"/>
        <v>2.9980596112860643E-3</v>
      </c>
      <c r="V11">
        <f t="shared" si="7"/>
        <v>7.2578088728497025E-5</v>
      </c>
      <c r="W11">
        <f t="shared" si="8"/>
        <v>2.2719033232628401</v>
      </c>
      <c r="X11">
        <f t="shared" si="9"/>
        <v>3.6415849479503985E-2</v>
      </c>
    </row>
    <row r="12" spans="1:31" x14ac:dyDescent="0.3">
      <c r="A12">
        <v>26</v>
      </c>
      <c r="B12">
        <v>13</v>
      </c>
      <c r="C12">
        <v>29.9</v>
      </c>
      <c r="D12">
        <v>0.1</v>
      </c>
      <c r="F12">
        <v>198</v>
      </c>
      <c r="G12">
        <v>574</v>
      </c>
      <c r="H12">
        <v>0.5</v>
      </c>
      <c r="I12">
        <f t="shared" si="0"/>
        <v>376</v>
      </c>
      <c r="J12">
        <f t="shared" si="1"/>
        <v>1</v>
      </c>
      <c r="L12">
        <v>942</v>
      </c>
      <c r="M12">
        <v>279</v>
      </c>
      <c r="N12">
        <v>2</v>
      </c>
      <c r="O12">
        <v>2</v>
      </c>
      <c r="P12">
        <f t="shared" si="2"/>
        <v>663</v>
      </c>
      <c r="Q12">
        <f t="shared" si="3"/>
        <v>4</v>
      </c>
      <c r="S12">
        <f t="shared" si="4"/>
        <v>1.2600451739599601E-5</v>
      </c>
      <c r="T12">
        <f t="shared" si="5"/>
        <v>5.5302786380944353E-8</v>
      </c>
      <c r="U12">
        <f t="shared" si="6"/>
        <v>3.0001075570475241E-3</v>
      </c>
      <c r="V12">
        <f t="shared" si="7"/>
        <v>7.2634600879331815E-5</v>
      </c>
      <c r="W12">
        <f t="shared" si="8"/>
        <v>2.0030211480362539</v>
      </c>
      <c r="X12">
        <f t="shared" si="9"/>
        <v>1.2457620102851751E-2</v>
      </c>
    </row>
    <row r="16" spans="1:31" x14ac:dyDescent="0.3">
      <c r="L16" t="s">
        <v>10</v>
      </c>
    </row>
    <row r="17" spans="19:19" x14ac:dyDescent="0.3">
      <c r="S17" t="s">
        <v>10</v>
      </c>
    </row>
  </sheetData>
  <sortState xmlns:xlrd2="http://schemas.microsoft.com/office/spreadsheetml/2017/richdata2" ref="A2:X13">
    <sortCondition ref="A2:A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2026-03-12T16:54:00Z</dcterms:modified>
</cp:coreProperties>
</file>