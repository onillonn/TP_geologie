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652E0410-0B61-42C5-9EF2-F106629EC5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1" l="1"/>
  <c r="S8" i="1" s="1"/>
  <c r="U8" i="1" s="1"/>
  <c r="J8" i="1"/>
  <c r="P8" i="1"/>
  <c r="W8" i="1" s="1"/>
  <c r="X8" i="1" s="1"/>
  <c r="Q8" i="1"/>
  <c r="Q11" i="1"/>
  <c r="P11" i="1"/>
  <c r="W11" i="1" s="1"/>
  <c r="J11" i="1"/>
  <c r="I11" i="1"/>
  <c r="S11" i="1" s="1"/>
  <c r="U11" i="1" s="1"/>
  <c r="Q9" i="1"/>
  <c r="Q7" i="1"/>
  <c r="Q6" i="1"/>
  <c r="Q5" i="1"/>
  <c r="Q3" i="1"/>
  <c r="Q2" i="1"/>
  <c r="Q4" i="1"/>
  <c r="Q10" i="1"/>
  <c r="I9" i="1"/>
  <c r="S9" i="1" s="1"/>
  <c r="U9" i="1" s="1"/>
  <c r="I7" i="1"/>
  <c r="S7" i="1" s="1"/>
  <c r="I6" i="1"/>
  <c r="I5" i="1"/>
  <c r="S5" i="1" s="1"/>
  <c r="U5" i="1" s="1"/>
  <c r="I3" i="1"/>
  <c r="S3" i="1" s="1"/>
  <c r="U3" i="1" s="1"/>
  <c r="I2" i="1"/>
  <c r="S2" i="1" s="1"/>
  <c r="U2" i="1" s="1"/>
  <c r="I4" i="1"/>
  <c r="S4" i="1" s="1"/>
  <c r="U4" i="1" s="1"/>
  <c r="I10" i="1"/>
  <c r="S10" i="1" s="1"/>
  <c r="U10" i="1" s="1"/>
  <c r="J9" i="1"/>
  <c r="J7" i="1"/>
  <c r="J6" i="1"/>
  <c r="J5" i="1"/>
  <c r="J3" i="1"/>
  <c r="J2" i="1"/>
  <c r="J4" i="1"/>
  <c r="J10" i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0" i="1"/>
  <c r="W10" i="1" s="1"/>
  <c r="T8" i="1" l="1"/>
  <c r="V8" i="1" s="1"/>
  <c r="X7" i="1"/>
  <c r="X11" i="1"/>
  <c r="T11" i="1"/>
  <c r="V11" i="1" s="1"/>
  <c r="X5" i="1"/>
  <c r="X6" i="1"/>
  <c r="X3" i="1"/>
  <c r="S6" i="1"/>
  <c r="U6" i="1" s="1"/>
  <c r="T7" i="1"/>
  <c r="U7" i="1"/>
  <c r="X9" i="1"/>
  <c r="X10" i="1"/>
  <c r="X4" i="1"/>
  <c r="X2" i="1"/>
  <c r="T9" i="1"/>
  <c r="V9" i="1" s="1"/>
  <c r="T4" i="1"/>
  <c r="V4" i="1" s="1"/>
  <c r="T5" i="1"/>
  <c r="V5" i="1" s="1"/>
  <c r="T3" i="1"/>
  <c r="V3" i="1" s="1"/>
  <c r="T10" i="1"/>
  <c r="V10" i="1" s="1"/>
  <c r="T2" i="1"/>
  <c r="V7" i="1" l="1"/>
  <c r="T6" i="1"/>
  <c r="V6" i="1" s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<sst xmlns="http://schemas.openxmlformats.org/spreadsheetml/2006/main" count="29" uniqueCount="28">
  <si>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</si>
  <si>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</si>
  <si>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</si>
  <si>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</si>
  <si>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</si>
  <si>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</si>
  <si>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</si>
  <si>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</si>
  <si>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</si>
  <si>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</si>
  <si>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</si>
  <si>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</si>
  <si>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</si>
  <si>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</si>
  <si>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</si>
  <si>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</si>
  <si>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</si>
  <si>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</si>
  <si>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</si>
  <si>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</si>
  <si>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</si>
  <si>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</si>
  <si>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</si>
  <si>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</si>
  <si>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flux_Darcy_(m/s)</t>
  </si>
  <si>
    <t>vitesse</t>
  </si>
  <si>
    <t>err_b</t>
  </si>
  <si>
    <t>tare_(g)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</si>
</sst>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"/>
  <sheetViews>
    <sheetView tabSelected="1" workbookViewId="0">
      <selection activeCell="G14" sqref="G14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4.886718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25</v>
      </c>
      <c r="B1" t="s">
        <v>0</v>
      </c>
      <c r="C1" t="s">
        <v>2</v>
      </c>
      <c r="D1" t="s">
        <v>1</v>
      </c>
      <c r="F1" t="s">
        <v>27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26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24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1" si="0">G2-F2</f>
        <v>75.5</v>
      </c>
      <c r="J2">
        <f t="shared" ref="J2:J11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1" si="2">L2-M2</f>
        <v>145</v>
      </c>
      <c r="Q2">
        <f t="shared" ref="Q2:Q11" si="3">O2+N2</f>
        <v>4</v>
      </c>
      <c r="S2">
        <f t="shared" ref="S2:S11" si="4">(I2/10^3)/($AD$2*C2)</f>
        <v>2.5050100200400804E-6</v>
      </c>
      <c r="T2">
        <f t="shared" ref="T2:T11" si="5">S2*SQRT((J2/I2)^2+(D2/C2)^2+($AE$2/$AD$2)^2)</f>
        <v>3.4292054268838759E-8</v>
      </c>
      <c r="U2">
        <f t="shared" ref="U2:U11" si="6">S2/($Z$2/10^6)</f>
        <v>5.964309571524001E-4</v>
      </c>
      <c r="V2">
        <f t="shared" ref="V2:V11" si="7">U2*SQRT((T2/S2)^2+($AA$2/$Z$2)^2)</f>
        <v>1.6380612974879218E-5</v>
      </c>
      <c r="W2">
        <f t="shared" ref="W2:W11" si="8">P2/$AB$2</f>
        <v>0.4380664652567976</v>
      </c>
      <c r="X2">
        <f t="shared" ref="X2:X11" si="9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si="6"/>
        <v>8.1114610172726409E-4</v>
      </c>
      <c r="V3">
        <f t="shared" si="7"/>
        <v>2.1076151770803291E-5</v>
      </c>
      <c r="W3">
        <f t="shared" si="8"/>
        <v>0.55287009063444104</v>
      </c>
      <c r="X3">
        <f t="shared" si="9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6"/>
        <v>9.8141816360863181E-4</v>
      </c>
      <c r="V4">
        <f t="shared" si="7"/>
        <v>2.4928431214823366E-5</v>
      </c>
      <c r="W4">
        <f t="shared" si="8"/>
        <v>0.68277945619335345</v>
      </c>
      <c r="X4">
        <f t="shared" si="9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6"/>
        <v>1.129242612208544E-3</v>
      </c>
      <c r="V5">
        <f t="shared" si="7"/>
        <v>2.8312296408463423E-5</v>
      </c>
      <c r="W5">
        <f t="shared" si="8"/>
        <v>0.77039274924471302</v>
      </c>
      <c r="X5">
        <f t="shared" si="9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6"/>
        <v>1.272121842165584E-3</v>
      </c>
      <c r="V6">
        <f t="shared" si="7"/>
        <v>3.1618161422865852E-5</v>
      </c>
      <c r="W6">
        <f t="shared" si="8"/>
        <v>0.8821752265861027</v>
      </c>
      <c r="X6">
        <f t="shared" si="9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6"/>
        <v>1.5772725644296027E-3</v>
      </c>
      <c r="V7">
        <f t="shared" si="7"/>
        <v>3.8769691046076259E-5</v>
      </c>
      <c r="W7">
        <f t="shared" si="8"/>
        <v>1.1057401812688821</v>
      </c>
      <c r="X7">
        <f t="shared" si="9"/>
        <v>1.8203680576191282E-2</v>
      </c>
    </row>
    <row r="8" spans="1:31" x14ac:dyDescent="0.3">
      <c r="A8">
        <v>16</v>
      </c>
      <c r="B8">
        <v>5</v>
      </c>
      <c r="C8">
        <v>29.9</v>
      </c>
      <c r="D8">
        <v>0.1</v>
      </c>
      <c r="F8">
        <v>197</v>
      </c>
      <c r="G8">
        <v>436</v>
      </c>
      <c r="H8">
        <v>0.5</v>
      </c>
      <c r="I8">
        <f t="shared" si="0"/>
        <v>239</v>
      </c>
      <c r="J8">
        <f t="shared" si="1"/>
        <v>1</v>
      </c>
      <c r="L8">
        <v>1040</v>
      </c>
      <c r="M8">
        <v>600</v>
      </c>
      <c r="N8">
        <v>2</v>
      </c>
      <c r="O8">
        <v>3</v>
      </c>
      <c r="P8">
        <f t="shared" si="2"/>
        <v>440</v>
      </c>
      <c r="Q8">
        <f t="shared" si="3"/>
        <v>5</v>
      </c>
      <c r="S8">
        <f t="shared" si="4"/>
        <v>8.0093296961816622E-6</v>
      </c>
      <c r="T8">
        <f t="shared" si="5"/>
        <v>4.364626552580502E-8</v>
      </c>
      <c r="U8">
        <f t="shared" si="6"/>
        <v>1.9069832609956339E-3</v>
      </c>
      <c r="V8">
        <f t="shared" si="7"/>
        <v>4.6578420007594534E-5</v>
      </c>
      <c r="W8">
        <f t="shared" si="8"/>
        <v>1.3293051359516617</v>
      </c>
      <c r="X8">
        <f t="shared" si="9"/>
        <v>1.5238618895658656E-2</v>
      </c>
    </row>
    <row r="9" spans="1:31" x14ac:dyDescent="0.3">
      <c r="A9">
        <v>21</v>
      </c>
      <c r="B9">
        <v>4</v>
      </c>
      <c r="C9">
        <v>29.9</v>
      </c>
      <c r="D9">
        <v>0.1</v>
      </c>
      <c r="F9">
        <v>198</v>
      </c>
      <c r="G9">
        <v>502.5</v>
      </c>
      <c r="H9">
        <v>0.5</v>
      </c>
      <c r="I9">
        <f t="shared" si="0"/>
        <v>304.5</v>
      </c>
      <c r="J9">
        <f t="shared" si="1"/>
        <v>1</v>
      </c>
      <c r="L9">
        <v>980</v>
      </c>
      <c r="M9">
        <v>404</v>
      </c>
      <c r="N9">
        <v>2</v>
      </c>
      <c r="O9">
        <v>6</v>
      </c>
      <c r="P9">
        <f t="shared" si="2"/>
        <v>576</v>
      </c>
      <c r="Q9">
        <f t="shared" si="3"/>
        <v>8</v>
      </c>
      <c r="S9">
        <f t="shared" si="4"/>
        <v>1.0204355198691699E-5</v>
      </c>
      <c r="T9">
        <f t="shared" si="5"/>
        <v>4.8911444595405938E-8</v>
      </c>
      <c r="U9">
        <f t="shared" si="6"/>
        <v>2.4296083806408806E-3</v>
      </c>
      <c r="V9">
        <f t="shared" si="7"/>
        <v>5.9008386661903181E-5</v>
      </c>
      <c r="W9">
        <f t="shared" si="8"/>
        <v>1.7401812688821752</v>
      </c>
      <c r="X9">
        <f t="shared" si="9"/>
        <v>2.4311712998973202E-2</v>
      </c>
    </row>
    <row r="10" spans="1:31" x14ac:dyDescent="0.3">
      <c r="A10">
        <v>23</v>
      </c>
      <c r="B10">
        <v>12</v>
      </c>
      <c r="C10">
        <v>30.4</v>
      </c>
      <c r="D10">
        <v>0.1</v>
      </c>
      <c r="F10">
        <v>197.5</v>
      </c>
      <c r="G10">
        <v>536.5</v>
      </c>
      <c r="H10">
        <v>0.5</v>
      </c>
      <c r="I10">
        <f t="shared" si="0"/>
        <v>339</v>
      </c>
      <c r="J10">
        <f t="shared" si="1"/>
        <v>1</v>
      </c>
      <c r="L10">
        <v>976</v>
      </c>
      <c r="M10">
        <v>380</v>
      </c>
      <c r="N10">
        <v>2</v>
      </c>
      <c r="O10">
        <v>2</v>
      </c>
      <c r="P10">
        <f t="shared" si="2"/>
        <v>596</v>
      </c>
      <c r="Q10">
        <f t="shared" si="3"/>
        <v>4</v>
      </c>
      <c r="S10">
        <f t="shared" si="4"/>
        <v>1.1173663115705097E-5</v>
      </c>
      <c r="T10">
        <f t="shared" si="5"/>
        <v>5.0623327338103899E-8</v>
      </c>
      <c r="U10">
        <f t="shared" si="6"/>
        <v>2.6603959799297852E-3</v>
      </c>
      <c r="V10">
        <f t="shared" si="7"/>
        <v>6.4479333191259661E-5</v>
      </c>
      <c r="W10">
        <f t="shared" si="8"/>
        <v>1.8006042296072509</v>
      </c>
      <c r="X10">
        <f t="shared" si="9"/>
        <v>1.2386907336791842E-2</v>
      </c>
    </row>
    <row r="11" spans="1:31" x14ac:dyDescent="0.3">
      <c r="A11">
        <v>26</v>
      </c>
      <c r="B11">
        <v>13</v>
      </c>
      <c r="C11">
        <v>29.9</v>
      </c>
      <c r="D11">
        <v>0.1</v>
      </c>
      <c r="F11">
        <v>198</v>
      </c>
      <c r="G11">
        <v>574</v>
      </c>
      <c r="H11">
        <v>0.5</v>
      </c>
      <c r="I11">
        <f t="shared" si="0"/>
        <v>376</v>
      </c>
      <c r="J11">
        <f t="shared" si="1"/>
        <v>1</v>
      </c>
      <c r="L11">
        <v>942</v>
      </c>
      <c r="M11">
        <v>279</v>
      </c>
      <c r="N11">
        <v>2</v>
      </c>
      <c r="O11">
        <v>2</v>
      </c>
      <c r="P11">
        <f t="shared" si="2"/>
        <v>663</v>
      </c>
      <c r="Q11">
        <f t="shared" si="3"/>
        <v>4</v>
      </c>
      <c r="S11">
        <f t="shared" si="4"/>
        <v>1.2600451739599601E-5</v>
      </c>
      <c r="T11">
        <f t="shared" si="5"/>
        <v>5.5302786380944353E-8</v>
      </c>
      <c r="U11">
        <f t="shared" si="6"/>
        <v>3.0001075570475241E-3</v>
      </c>
      <c r="V11">
        <f t="shared" si="7"/>
        <v>7.2634600879331815E-5</v>
      </c>
      <c r="W11">
        <f t="shared" si="8"/>
        <v>2.0030211480362539</v>
      </c>
      <c r="X11">
        <f t="shared" si="9"/>
        <v>1.2457620102851751E-2</v>
      </c>
    </row>
    <row r="15" spans="1:31" x14ac:dyDescent="0.3">
      <c r="L15" t="s">
        <v>10</v>
      </c>
    </row>
    <row r="16" spans="1:31" x14ac:dyDescent="0.3">
      <c r="S16" t="s">
        <v>10</v>
      </c>
    </row>
  </sheetData>
  <sortState xmlns:xlrd2="http://schemas.microsoft.com/office/spreadsheetml/2017/richdata2" ref="A2:X12">
    <sortCondition ref="A2:A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2026-03-12T16:57:02Z</dcterms:modified>
</cp:coreProperties>
</file>