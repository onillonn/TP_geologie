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2EFEC7A9-3CF3-40CB-B9A5-60E90212EA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2" i="1"/>
  <c r="I8" i="1"/>
  <c r="S8" i="1" s="1"/>
  <c r="J8" i="1"/>
  <c r="P8" i="1"/>
  <c r="W8" i="1" s="1"/>
  <c r="X8" i="1" s="1"/>
  <c r="Q8" i="1"/>
  <c r="Q11" i="1"/>
  <c r="P11" i="1"/>
  <c r="W11" i="1" s="1"/>
  <c r="J11" i="1"/>
  <c r="I11" i="1"/>
  <c r="S11" i="1" s="1"/>
  <c r="Q9" i="1"/>
  <c r="Q7" i="1"/>
  <c r="Q6" i="1"/>
  <c r="Q5" i="1"/>
  <c r="Q3" i="1"/>
  <c r="Q2" i="1"/>
  <c r="Q4" i="1"/>
  <c r="Q10" i="1"/>
  <c r="I9" i="1"/>
  <c r="S9" i="1" s="1"/>
  <c r="I7" i="1"/>
  <c r="S7" i="1" s="1"/>
  <c r="I6" i="1"/>
  <c r="I5" i="1"/>
  <c r="S5" i="1" s="1"/>
  <c r="I3" i="1"/>
  <c r="S3" i="1" s="1"/>
  <c r="I2" i="1"/>
  <c r="S2" i="1" s="1"/>
  <c r="I4" i="1"/>
  <c r="S4" i="1" s="1"/>
  <c r="I10" i="1"/>
  <c r="S10" i="1" s="1"/>
  <c r="J9" i="1"/>
  <c r="J7" i="1"/>
  <c r="J6" i="1"/>
  <c r="J5" i="1"/>
  <c r="J3" i="1"/>
  <c r="J2" i="1"/>
  <c r="J4" i="1"/>
  <c r="J10" i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1" i="1"/>
  <c r="T11" i="1"/>
  <c r="V11" i="1" s="1"/>
  <c r="X5" i="1"/>
  <c r="X6" i="1"/>
  <c r="X3" i="1"/>
  <c r="S6" i="1"/>
  <c r="T7" i="1"/>
  <c r="X9" i="1"/>
  <c r="X10" i="1"/>
  <c r="X4" i="1"/>
  <c r="X2" i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<sst xmlns="http://schemas.openxmlformats.org/spreadsheetml/2006/main" count="29" uniqueCount="28">
  <si>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</si>
  <si>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</si>
  <si>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</si>
  <si>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</si>
  <si>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</si>
  <si>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</si>
  <si>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</si>
  <si>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</si>
  <si>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</si>
  <si>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</si>
  <si>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</si>
  <si>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</si>
  <si>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</si>
  <si>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</si>
  <si>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</si>
  <si>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</si>
  <si>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</si>
  <si>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</si>
  <si>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</si>
  <si>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</si>
  <si>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</si>
  <si>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</si>
  <si>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</si>
  <si>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</si>
  <si>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vitesse</t>
  </si>
  <si>
    <t>err_b</t>
  </si>
  <si>
    <t>tare_(g)</t>
  </si>
  <si>
    <t>flux_Darcy_(mm/s)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</si>
</sst>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selection activeCell="U15" sqref="U15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5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24</v>
      </c>
      <c r="B1" t="s">
        <v>0</v>
      </c>
      <c r="C1" t="s">
        <v>2</v>
      </c>
      <c r="D1" t="s">
        <v>1</v>
      </c>
      <c r="F1" t="s">
        <v>26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25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27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>S2/($Z$2/10^6)*10^3</f>
        <v>0.59643095715240013</v>
      </c>
      <c r="V2">
        <f t="shared" ref="V2:V11" si="6">U2*SQRT((T2/S2)^2+($AA$2/$Z$2)^2)</f>
        <v>1.6380612974879218E-2</v>
      </c>
      <c r="W2">
        <f t="shared" ref="W2:W11" si="7">P2/$AB$2</f>
        <v>0.4380664652567976</v>
      </c>
      <c r="X2">
        <f t="shared" ref="X2:X11" si="8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ref="U3:U11" si="9">S3/($Z$2/10^6)*10^3</f>
        <v>0.81114610172726409</v>
      </c>
      <c r="V3">
        <f t="shared" si="6"/>
        <v>2.1076151770803291E-2</v>
      </c>
      <c r="W3">
        <f t="shared" si="7"/>
        <v>0.55287009063444104</v>
      </c>
      <c r="X3">
        <f t="shared" si="8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9"/>
        <v>0.98141816360863177</v>
      </c>
      <c r="V4">
        <f t="shared" si="6"/>
        <v>2.4928431214823365E-2</v>
      </c>
      <c r="W4">
        <f t="shared" si="7"/>
        <v>0.68277945619335345</v>
      </c>
      <c r="X4">
        <f t="shared" si="8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9"/>
        <v>1.1292426122085439</v>
      </c>
      <c r="V5">
        <f t="shared" si="6"/>
        <v>2.8312296408463423E-2</v>
      </c>
      <c r="W5">
        <f t="shared" si="7"/>
        <v>0.77039274924471302</v>
      </c>
      <c r="X5">
        <f t="shared" si="8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9"/>
        <v>1.272121842165584</v>
      </c>
      <c r="V6">
        <f t="shared" si="6"/>
        <v>3.1618161422865852E-2</v>
      </c>
      <c r="W6">
        <f t="shared" si="7"/>
        <v>0.8821752265861027</v>
      </c>
      <c r="X6">
        <f t="shared" si="8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9"/>
        <v>1.5772725644296026</v>
      </c>
      <c r="V7">
        <f t="shared" si="6"/>
        <v>3.8769691046076256E-2</v>
      </c>
      <c r="W7">
        <f t="shared" si="7"/>
        <v>1.1057401812688821</v>
      </c>
      <c r="X7">
        <f t="shared" si="8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9"/>
        <v>1.9069832609956339</v>
      </c>
      <c r="V8">
        <f t="shared" si="6"/>
        <v>4.6578420007594531E-2</v>
      </c>
      <c r="W8">
        <f t="shared" si="7"/>
        <v>1.3293051359516617</v>
      </c>
      <c r="X8">
        <f t="shared" si="8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9"/>
        <v>2.4296083806408806</v>
      </c>
      <c r="V9">
        <f t="shared" si="6"/>
        <v>5.9008386661903181E-2</v>
      </c>
      <c r="W9">
        <f t="shared" si="7"/>
        <v>1.7401812688821752</v>
      </c>
      <c r="X9">
        <f t="shared" si="8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9"/>
        <v>2.6603959799297852</v>
      </c>
      <c r="V10">
        <f t="shared" si="6"/>
        <v>6.4479333191259661E-2</v>
      </c>
      <c r="W10">
        <f t="shared" si="7"/>
        <v>1.8006042296072509</v>
      </c>
      <c r="X10">
        <f t="shared" si="8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9"/>
        <v>3.000107557047524</v>
      </c>
      <c r="V11">
        <f t="shared" si="6"/>
        <v>7.2634600879331809E-2</v>
      </c>
      <c r="W11">
        <f t="shared" si="7"/>
        <v>2.0030211480362539</v>
      </c>
      <c r="X11">
        <f t="shared" si="8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2026-03-13T14:17:43Z</dcterms:modified>
</cp:coreProperties>
</file>