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01FA185F-210E-4088-8356-D1F403514A1B}" xr6:coauthVersionLast="47" xr6:coauthVersionMax="47" xr10:uidLastSave="{00000000-0000-0000-0000-000000000000}"/>
  <bookViews>
    <workbookView xWindow="5760" yWindow="3216" windowWidth="17280" windowHeight="9024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L4" i="1"/>
  <c r="L5" i="1"/>
  <c r="L6" i="1"/>
  <c r="L7" i="1"/>
  <c r="L8" i="1"/>
  <c r="L9" i="1"/>
  <c r="L10" i="1"/>
  <c r="L11" i="1"/>
  <c r="L12" i="1"/>
  <c r="L13" i="1"/>
  <c r="L14" i="1"/>
  <c r="N3" i="1"/>
  <c r="L3" i="1"/>
  <c r="J4" i="1"/>
  <c r="J5" i="1"/>
  <c r="J6" i="1"/>
  <c r="J7" i="1"/>
  <c r="J8" i="1"/>
  <c r="J9" i="1"/>
  <c r="J10" i="1"/>
  <c r="J11" i="1"/>
  <c r="J12" i="1"/>
  <c r="J13" i="1"/>
  <c r="J14" i="1"/>
  <c r="J3" i="1"/>
  <c r="I4" i="1"/>
  <c r="I5" i="1"/>
  <c r="I6" i="1"/>
  <c r="I7" i="1"/>
  <c r="I8" i="1"/>
  <c r="I9" i="1"/>
  <c r="I10" i="1"/>
  <c r="K10" i="1" s="1"/>
  <c r="I11" i="1"/>
  <c r="I12" i="1"/>
  <c r="I13" i="1"/>
  <c r="K13" i="1" s="1"/>
  <c r="I14" i="1"/>
  <c r="K14" i="1" s="1"/>
  <c r="I3" i="1"/>
  <c r="M4" i="1"/>
  <c r="M5" i="1"/>
  <c r="M6" i="1"/>
  <c r="M7" i="1"/>
  <c r="M8" i="1"/>
  <c r="M9" i="1"/>
  <c r="M10" i="1"/>
  <c r="M11" i="1"/>
  <c r="M12" i="1"/>
  <c r="M13" i="1"/>
  <c r="M14" i="1"/>
  <c r="M3" i="1"/>
  <c r="K4" i="1"/>
  <c r="K5" i="1"/>
  <c r="K6" i="1"/>
  <c r="K7" i="1" l="1"/>
  <c r="K8" i="1"/>
  <c r="K3" i="1"/>
  <c r="K12" i="1"/>
  <c r="K11" i="1"/>
  <c r="K9" i="1"/>
</calcChain>
</file>

<file path=xl/sharedStrings.xml><?xml version="1.0" encoding="utf-8"?>
<sst xmlns="http://schemas.openxmlformats.org/spreadsheetml/2006/main" count="18" uniqueCount="18">
  <si>
    <t>mesure</t>
  </si>
  <si>
    <t>erreur_t</t>
  </si>
  <si>
    <t>temps_(s)</t>
  </si>
  <si>
    <t>masse_(kg)</t>
  </si>
  <si>
    <t>erreur_m</t>
  </si>
  <si>
    <t>erreur_dh</t>
  </si>
  <si>
    <t>erreur_Q</t>
  </si>
  <si>
    <t>erreur_q</t>
  </si>
  <si>
    <t>flux_Darcy</t>
  </si>
  <si>
    <t>gradient</t>
  </si>
  <si>
    <t>erreur_i</t>
  </si>
  <si>
    <t>erreur_A</t>
  </si>
  <si>
    <t>erreur_L</t>
  </si>
  <si>
    <t>longueur_(m)</t>
  </si>
  <si>
    <t>delta_h_(m)</t>
  </si>
  <si>
    <t>aire_(m^2)</t>
  </si>
  <si>
    <t>débit_(m/s)</t>
  </si>
  <si>
    <t>densité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</si>
</sst>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4"/>
  <sheetViews>
    <sheetView tabSelected="1" workbookViewId="0">
      <selection activeCell="L19" sqref="L19"/>
    </sheetView>
  </sheetViews>
  <sheetFormatPr baseColWidth="10" defaultColWidth="8.88671875" defaultRowHeight="14.4" x14ac:dyDescent="0.3"/>
  <cols>
    <col min="4" max="4" width="7.5546875" customWidth="1"/>
    <col min="5" max="5" width="9.6640625" customWidth="1"/>
    <col min="6" max="6" width="8.5546875" customWidth="1"/>
    <col min="7" max="7" width="10.88671875" customWidth="1"/>
    <col min="8" max="8" width="9.109375" customWidth="1"/>
    <col min="9" max="9" width="10.5546875" customWidth="1"/>
    <col min="11" max="11" width="9.44140625" customWidth="1"/>
    <col min="16" max="16" width="10.5546875" customWidth="1"/>
    <col min="18" max="18" width="11.5546875" customWidth="1"/>
  </cols>
  <sheetData>
    <row r="2" spans="2:20" ht="16.8" customHeight="1" x14ac:dyDescent="0.3">
      <c r="B2" t="s">
        <v>0</v>
      </c>
      <c r="C2" t="s">
        <v>2</v>
      </c>
      <c r="D2" t="s">
        <v>1</v>
      </c>
      <c r="E2" t="s">
        <v>3</v>
      </c>
      <c r="F2" t="s">
        <v>4</v>
      </c>
      <c r="G2" t="s">
        <v>14</v>
      </c>
      <c r="H2" s="1" t="s">
        <v>5</v>
      </c>
      <c r="I2" t="s">
        <v>16</v>
      </c>
      <c r="J2" s="1" t="s">
        <v>6</v>
      </c>
      <c r="K2" s="2" t="s">
        <v>8</v>
      </c>
      <c r="L2" s="1" t="s">
        <v>7</v>
      </c>
      <c r="M2" s="2" t="s">
        <v>9</v>
      </c>
      <c r="N2" s="1" t="s">
        <v>10</v>
      </c>
      <c r="P2" s="2" t="s">
        <v>15</v>
      </c>
      <c r="Q2" t="s">
        <v>11</v>
      </c>
      <c r="R2" t="s">
        <v>13</v>
      </c>
      <c r="S2" t="s">
        <v>12</v>
      </c>
      <c r="T2" t="s">
        <v>17</v>
      </c>
    </row>
    <row r="3" spans="2:20" x14ac:dyDescent="0.3">
      <c r="B3">
        <v>1</v>
      </c>
      <c r="I3" t="e">
        <f>E3/($T$3*C3)</f>
        <v>#DIV/0!</v>
      </c>
      <c r="J3" t="e">
        <f>I3*SQRT((F3/E3)^2+(D3/C3)^2)</f>
        <v>#DIV/0!</v>
      </c>
      <c r="K3" t="e">
        <f>I3/$P$3</f>
        <v>#DIV/0!</v>
      </c>
      <c r="L3" t="e">
        <f>K3*SQRT((J3/I3)^2+($Q$3/$P$3)^2)</f>
        <v>#DIV/0!</v>
      </c>
      <c r="M3" t="e">
        <f>G3/$R$3</f>
        <v>#DIV/0!</v>
      </c>
      <c r="N3" t="e">
        <f>M3*SQRT((H3/G3)^2+($S$3/$R$3)^2)</f>
        <v>#DIV/0!</v>
      </c>
      <c r="T3">
        <v>1000</v>
      </c>
    </row>
    <row r="4" spans="2:20" x14ac:dyDescent="0.3">
      <c r="B4">
        <v>2</v>
      </c>
      <c r="I4" t="e">
        <f t="shared" ref="I4:I14" si="0">E4/($T$3*C4)</f>
        <v>#DIV/0!</v>
      </c>
      <c r="J4" t="e">
        <f t="shared" ref="J4:J14" si="1">I4*SQRT((F4/E4)^2+(D4/C4)^2)</f>
        <v>#DIV/0!</v>
      </c>
      <c r="K4" t="e">
        <f t="shared" ref="K4:K15" si="2">I4/$P$3</f>
        <v>#DIV/0!</v>
      </c>
      <c r="L4" t="e">
        <f t="shared" ref="L4:L14" si="3">K4*SQRT((J4/I4)^2+($Q$3/$P$3)^2)</f>
        <v>#DIV/0!</v>
      </c>
      <c r="M4" t="e">
        <f t="shared" ref="M4:M14" si="4">G4/$R$3</f>
        <v>#DIV/0!</v>
      </c>
      <c r="N4" t="e">
        <f t="shared" ref="N4:N14" si="5">M4*SQRT((H4/G4)^2+($S$3/$R$3)^2)</f>
        <v>#DIV/0!</v>
      </c>
    </row>
    <row r="5" spans="2:20" x14ac:dyDescent="0.3">
      <c r="B5">
        <v>3</v>
      </c>
      <c r="I5" t="e">
        <f t="shared" si="0"/>
        <v>#DIV/0!</v>
      </c>
      <c r="J5" t="e">
        <f t="shared" si="1"/>
        <v>#DIV/0!</v>
      </c>
      <c r="K5" t="e">
        <f t="shared" si="2"/>
        <v>#DIV/0!</v>
      </c>
      <c r="L5" t="e">
        <f t="shared" si="3"/>
        <v>#DIV/0!</v>
      </c>
      <c r="M5" t="e">
        <f t="shared" si="4"/>
        <v>#DIV/0!</v>
      </c>
      <c r="N5" t="e">
        <f t="shared" si="5"/>
        <v>#DIV/0!</v>
      </c>
    </row>
    <row r="6" spans="2:20" x14ac:dyDescent="0.3">
      <c r="B6">
        <v>4</v>
      </c>
      <c r="I6" t="e">
        <f t="shared" si="0"/>
        <v>#DIV/0!</v>
      </c>
      <c r="J6" t="e">
        <f t="shared" si="1"/>
        <v>#DIV/0!</v>
      </c>
      <c r="K6" t="e">
        <f t="shared" si="2"/>
        <v>#DIV/0!</v>
      </c>
      <c r="L6" t="e">
        <f t="shared" si="3"/>
        <v>#DIV/0!</v>
      </c>
      <c r="M6" t="e">
        <f t="shared" si="4"/>
        <v>#DIV/0!</v>
      </c>
      <c r="N6" t="e">
        <f t="shared" si="5"/>
        <v>#DIV/0!</v>
      </c>
    </row>
    <row r="7" spans="2:20" x14ac:dyDescent="0.3">
      <c r="B7">
        <v>5</v>
      </c>
      <c r="I7" t="e">
        <f t="shared" si="0"/>
        <v>#DIV/0!</v>
      </c>
      <c r="J7" t="e">
        <f t="shared" si="1"/>
        <v>#DIV/0!</v>
      </c>
      <c r="K7" t="e">
        <f t="shared" si="2"/>
        <v>#DIV/0!</v>
      </c>
      <c r="L7" t="e">
        <f t="shared" si="3"/>
        <v>#DIV/0!</v>
      </c>
      <c r="M7" t="e">
        <f t="shared" si="4"/>
        <v>#DIV/0!</v>
      </c>
      <c r="N7" t="e">
        <f t="shared" si="5"/>
        <v>#DIV/0!</v>
      </c>
    </row>
    <row r="8" spans="2:20" x14ac:dyDescent="0.3">
      <c r="B8">
        <v>6</v>
      </c>
      <c r="I8" t="e">
        <f t="shared" si="0"/>
        <v>#DIV/0!</v>
      </c>
      <c r="J8" t="e">
        <f t="shared" si="1"/>
        <v>#DIV/0!</v>
      </c>
      <c r="K8" t="e">
        <f t="shared" si="2"/>
        <v>#DIV/0!</v>
      </c>
      <c r="L8" t="e">
        <f t="shared" si="3"/>
        <v>#DIV/0!</v>
      </c>
      <c r="M8" t="e">
        <f t="shared" si="4"/>
        <v>#DIV/0!</v>
      </c>
      <c r="N8" t="e">
        <f t="shared" si="5"/>
        <v>#DIV/0!</v>
      </c>
    </row>
    <row r="9" spans="2:20" x14ac:dyDescent="0.3">
      <c r="B9">
        <v>7</v>
      </c>
      <c r="I9" t="e">
        <f t="shared" si="0"/>
        <v>#DIV/0!</v>
      </c>
      <c r="J9" t="e">
        <f t="shared" si="1"/>
        <v>#DIV/0!</v>
      </c>
      <c r="K9" t="e">
        <f t="shared" si="2"/>
        <v>#DIV/0!</v>
      </c>
      <c r="L9" t="e">
        <f t="shared" si="3"/>
        <v>#DIV/0!</v>
      </c>
      <c r="M9" t="e">
        <f t="shared" si="4"/>
        <v>#DIV/0!</v>
      </c>
      <c r="N9" t="e">
        <f t="shared" si="5"/>
        <v>#DIV/0!</v>
      </c>
    </row>
    <row r="10" spans="2:20" x14ac:dyDescent="0.3">
      <c r="B10">
        <v>8</v>
      </c>
      <c r="I10" t="e">
        <f t="shared" si="0"/>
        <v>#DIV/0!</v>
      </c>
      <c r="J10" t="e">
        <f t="shared" si="1"/>
        <v>#DIV/0!</v>
      </c>
      <c r="K10" t="e">
        <f t="shared" si="2"/>
        <v>#DIV/0!</v>
      </c>
      <c r="L10" t="e">
        <f t="shared" si="3"/>
        <v>#DIV/0!</v>
      </c>
      <c r="M10" t="e">
        <f t="shared" si="4"/>
        <v>#DIV/0!</v>
      </c>
      <c r="N10" t="e">
        <f t="shared" si="5"/>
        <v>#DIV/0!</v>
      </c>
    </row>
    <row r="11" spans="2:20" x14ac:dyDescent="0.3">
      <c r="B11">
        <v>9</v>
      </c>
      <c r="I11" t="e">
        <f t="shared" si="0"/>
        <v>#DIV/0!</v>
      </c>
      <c r="J11" t="e">
        <f t="shared" si="1"/>
        <v>#DIV/0!</v>
      </c>
      <c r="K11" t="e">
        <f t="shared" si="2"/>
        <v>#DIV/0!</v>
      </c>
      <c r="L11" t="e">
        <f t="shared" si="3"/>
        <v>#DIV/0!</v>
      </c>
      <c r="M11" t="e">
        <f t="shared" si="4"/>
        <v>#DIV/0!</v>
      </c>
      <c r="N11" t="e">
        <f t="shared" si="5"/>
        <v>#DIV/0!</v>
      </c>
    </row>
    <row r="12" spans="2:20" x14ac:dyDescent="0.3">
      <c r="B12">
        <v>10</v>
      </c>
      <c r="I12" t="e">
        <f t="shared" si="0"/>
        <v>#DIV/0!</v>
      </c>
      <c r="J12" t="e">
        <f t="shared" si="1"/>
        <v>#DIV/0!</v>
      </c>
      <c r="K12" t="e">
        <f t="shared" si="2"/>
        <v>#DIV/0!</v>
      </c>
      <c r="L12" t="e">
        <f t="shared" si="3"/>
        <v>#DIV/0!</v>
      </c>
      <c r="M12" t="e">
        <f t="shared" si="4"/>
        <v>#DIV/0!</v>
      </c>
      <c r="N12" t="e">
        <f t="shared" si="5"/>
        <v>#DIV/0!</v>
      </c>
    </row>
    <row r="13" spans="2:20" x14ac:dyDescent="0.3">
      <c r="B13">
        <v>11</v>
      </c>
      <c r="I13" t="e">
        <f t="shared" si="0"/>
        <v>#DIV/0!</v>
      </c>
      <c r="J13" t="e">
        <f t="shared" si="1"/>
        <v>#DIV/0!</v>
      </c>
      <c r="K13" t="e">
        <f t="shared" si="2"/>
        <v>#DIV/0!</v>
      </c>
      <c r="L13" t="e">
        <f t="shared" si="3"/>
        <v>#DIV/0!</v>
      </c>
      <c r="M13" t="e">
        <f t="shared" si="4"/>
        <v>#DIV/0!</v>
      </c>
      <c r="N13" t="e">
        <f t="shared" si="5"/>
        <v>#DIV/0!</v>
      </c>
    </row>
    <row r="14" spans="2:20" x14ac:dyDescent="0.3">
      <c r="B14">
        <v>12</v>
      </c>
      <c r="I14" t="e">
        <f t="shared" si="0"/>
        <v>#DIV/0!</v>
      </c>
      <c r="J14" t="e">
        <f t="shared" si="1"/>
        <v>#DIV/0!</v>
      </c>
      <c r="K14" t="e">
        <f t="shared" si="2"/>
        <v>#DIV/0!</v>
      </c>
      <c r="L14" t="e">
        <f t="shared" si="3"/>
        <v>#DIV/0!</v>
      </c>
      <c r="M14" t="e">
        <f t="shared" si="4"/>
        <v>#DIV/0!</v>
      </c>
      <c r="N14" t="e">
        <f t="shared" si="5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2026-03-09T17:40:43Z</dcterms:modified>
</cp:coreProperties>
</file>