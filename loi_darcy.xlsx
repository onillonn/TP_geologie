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Nicolas Onillon\Documents\UNINe\géologie\"/>
    </mc:Choice>
  </mc:AlternateContent>
  <xr:revisionPtr revIDLastSave="0" documentId="13_ncr:1_{673B95D5-CEE3-4B52-8F22-34BE5EDA405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16" i="1" l="1"/>
  <c r="W16" i="1" s="1"/>
  <c r="X16" i="1" s="1"/>
  <c r="Q15" i="1"/>
  <c r="Q16" i="1"/>
  <c r="P15" i="1"/>
  <c r="W15" i="1" s="1"/>
  <c r="X15" i="1" s="1"/>
  <c r="J15" i="1"/>
  <c r="J16" i="1"/>
  <c r="I15" i="1"/>
  <c r="S15" i="1" s="1"/>
  <c r="U15" i="1" s="1"/>
  <c r="I16" i="1"/>
  <c r="S16" i="1" s="1"/>
  <c r="Q11" i="1"/>
  <c r="Q14" i="1"/>
  <c r="Q12" i="1"/>
  <c r="Q10" i="1"/>
  <c r="Q8" i="1"/>
  <c r="Q7" i="1"/>
  <c r="Q6" i="1"/>
  <c r="Q4" i="1"/>
  <c r="Q3" i="1"/>
  <c r="Q5" i="1"/>
  <c r="Q13" i="1"/>
  <c r="Q9" i="1"/>
  <c r="I11" i="1"/>
  <c r="S11" i="1" s="1"/>
  <c r="I14" i="1"/>
  <c r="S14" i="1" s="1"/>
  <c r="I12" i="1"/>
  <c r="S12" i="1" s="1"/>
  <c r="U12" i="1" s="1"/>
  <c r="I10" i="1"/>
  <c r="S10" i="1" s="1"/>
  <c r="U10" i="1" s="1"/>
  <c r="I8" i="1"/>
  <c r="S8" i="1" s="1"/>
  <c r="I7" i="1"/>
  <c r="I6" i="1"/>
  <c r="S6" i="1" s="1"/>
  <c r="U6" i="1" s="1"/>
  <c r="I4" i="1"/>
  <c r="S4" i="1" s="1"/>
  <c r="U4" i="1" s="1"/>
  <c r="I3" i="1"/>
  <c r="S3" i="1" s="1"/>
  <c r="U3" i="1" s="1"/>
  <c r="I5" i="1"/>
  <c r="S5" i="1" s="1"/>
  <c r="U5" i="1" s="1"/>
  <c r="I13" i="1"/>
  <c r="S13" i="1" s="1"/>
  <c r="U13" i="1" s="1"/>
  <c r="J11" i="1"/>
  <c r="J14" i="1"/>
  <c r="J12" i="1"/>
  <c r="J10" i="1"/>
  <c r="J8" i="1"/>
  <c r="J7" i="1"/>
  <c r="J6" i="1"/>
  <c r="J4" i="1"/>
  <c r="J3" i="1"/>
  <c r="J5" i="1"/>
  <c r="J13" i="1"/>
  <c r="I9" i="1"/>
  <c r="S9" i="1" s="1"/>
  <c r="U9" i="1" s="1"/>
  <c r="P11" i="1"/>
  <c r="W11" i="1" s="1"/>
  <c r="X11" i="1" s="1"/>
  <c r="P14" i="1"/>
  <c r="W14" i="1" s="1"/>
  <c r="P12" i="1"/>
  <c r="W12" i="1" s="1"/>
  <c r="P10" i="1"/>
  <c r="W10" i="1" s="1"/>
  <c r="P8" i="1"/>
  <c r="W8" i="1" s="1"/>
  <c r="X8" i="1" s="1"/>
  <c r="P7" i="1"/>
  <c r="W7" i="1" s="1"/>
  <c r="P6" i="1"/>
  <c r="W6" i="1" s="1"/>
  <c r="P4" i="1"/>
  <c r="W4" i="1" s="1"/>
  <c r="P3" i="1"/>
  <c r="W3" i="1" s="1"/>
  <c r="P5" i="1"/>
  <c r="W5" i="1" s="1"/>
  <c r="P13" i="1"/>
  <c r="W13" i="1" s="1"/>
  <c r="P9" i="1"/>
  <c r="W9" i="1" s="1"/>
  <c r="J9" i="1"/>
  <c r="U16" i="1" l="1"/>
  <c r="T16" i="1"/>
  <c r="T15" i="1"/>
  <c r="V15" i="1" s="1"/>
  <c r="X6" i="1"/>
  <c r="X7" i="1"/>
  <c r="X9" i="1"/>
  <c r="U11" i="1"/>
  <c r="V11" i="1" s="1"/>
  <c r="T11" i="1"/>
  <c r="T9" i="1"/>
  <c r="V9" i="1" s="1"/>
  <c r="X4" i="1"/>
  <c r="X10" i="1"/>
  <c r="S7" i="1"/>
  <c r="U7" i="1" s="1"/>
  <c r="T8" i="1"/>
  <c r="U8" i="1"/>
  <c r="T14" i="1"/>
  <c r="X12" i="1"/>
  <c r="X14" i="1"/>
  <c r="X13" i="1"/>
  <c r="X5" i="1"/>
  <c r="X3" i="1"/>
  <c r="T10" i="1"/>
  <c r="V10" i="1" s="1"/>
  <c r="T12" i="1"/>
  <c r="V12" i="1" s="1"/>
  <c r="T5" i="1"/>
  <c r="V5" i="1" s="1"/>
  <c r="T6" i="1"/>
  <c r="V6" i="1" s="1"/>
  <c r="U14" i="1"/>
  <c r="T4" i="1"/>
  <c r="V4" i="1" s="1"/>
  <c r="T13" i="1"/>
  <c r="V13" i="1" s="1"/>
  <c r="T3" i="1"/>
  <c r="V8" i="1" l="1"/>
  <c r="V16" i="1"/>
  <c r="T7" i="1"/>
  <c r="V7" i="1" s="1"/>
  <c r="V14" i="1"/>
  <c r="V3" i="1"/>
</calcChain>
</file>

<file path=xl/sharedStrings.xml><?xml version="1.0" encoding="utf-8"?>
<sst xmlns="http://schemas.openxmlformats.org/spreadsheetml/2006/main" count="29" uniqueCount="28">
  <si>
    <t>mesure</t>
  </si>
  <si>
    <t>erreur_t</t>
  </si>
  <si>
    <t>temps_(s)</t>
  </si>
  <si>
    <t>erreur_dh</t>
  </si>
  <si>
    <t>erreur_Q</t>
  </si>
  <si>
    <t>erreur_q</t>
  </si>
  <si>
    <t>gradient</t>
  </si>
  <si>
    <t>erreur_i</t>
  </si>
  <si>
    <t>erreur_A</t>
  </si>
  <si>
    <t>erreur_L</t>
  </si>
  <si>
    <t xml:space="preserve"> </t>
  </si>
  <si>
    <t>delta_h_(mm)</t>
  </si>
  <si>
    <t>aire_(mm^2)</t>
  </si>
  <si>
    <t>longueur_(mm)</t>
  </si>
  <si>
    <t>erreur_rho</t>
  </si>
  <si>
    <t>densité (kg/m^3)</t>
  </si>
  <si>
    <t>hbas_(mm)</t>
  </si>
  <si>
    <t>hhaut_(mm)</t>
  </si>
  <si>
    <t>masse2_(g)</t>
  </si>
  <si>
    <t>masse_eau_(g)</t>
  </si>
  <si>
    <t>err_m</t>
  </si>
  <si>
    <t>err_m_eau</t>
  </si>
  <si>
    <t>err_h</t>
  </si>
  <si>
    <t>débit_(m^3/s)</t>
  </si>
  <si>
    <t>flux_Darcy_(m/s)</t>
  </si>
  <si>
    <t>vitesse</t>
  </si>
  <si>
    <t>err_b</t>
  </si>
  <si>
    <t>tare_(g)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</si>
</sst>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E20"/>
  <sheetViews>
    <sheetView tabSelected="1" workbookViewId="0">
      <selection activeCell="I18" sqref="I18"/>
    </sheetView>
  </sheetViews>
  <sheetFormatPr baseColWidth="10" defaultColWidth="8.88671875" defaultRowHeight="14.4" x14ac:dyDescent="0.3"/>
  <cols>
    <col min="4" max="4" width="7.5546875" customWidth="1"/>
    <col min="5" max="5" width="1.77734375" customWidth="1"/>
    <col min="6" max="7" width="10.21875" customWidth="1"/>
    <col min="8" max="8" width="6" customWidth="1"/>
    <col min="9" max="9" width="13.109375" customWidth="1"/>
    <col min="10" max="10" width="9.77734375" customWidth="1"/>
    <col min="11" max="11" width="1.5546875" customWidth="1"/>
    <col min="12" max="12" width="10.6640625" customWidth="1"/>
    <col min="13" max="13" width="10.109375" customWidth="1"/>
    <col min="14" max="14" width="5.44140625" customWidth="1"/>
    <col min="15" max="15" width="5.5546875" customWidth="1"/>
    <col min="16" max="16" width="12" customWidth="1"/>
    <col min="17" max="17" width="9.109375" customWidth="1"/>
    <col min="18" max="18" width="2.109375" customWidth="1"/>
    <col min="19" max="19" width="11.77734375" customWidth="1"/>
    <col min="20" max="20" width="10.109375" customWidth="1"/>
    <col min="21" max="21" width="14.88671875" customWidth="1"/>
    <col min="22" max="22" width="8.33203125" customWidth="1"/>
    <col min="23" max="23" width="7.44140625" customWidth="1"/>
    <col min="24" max="24" width="7.77734375" customWidth="1"/>
    <col min="25" max="25" width="1.33203125" customWidth="1"/>
    <col min="26" max="26" width="11.33203125" customWidth="1"/>
    <col min="27" max="27" width="8.21875" customWidth="1"/>
    <col min="28" max="28" width="13.109375" customWidth="1"/>
    <col min="29" max="29" width="8.33203125" customWidth="1"/>
    <col min="30" max="30" width="14.33203125" customWidth="1"/>
    <col min="31" max="31" width="9.5546875" customWidth="1"/>
  </cols>
  <sheetData>
    <row r="2" spans="1:31" ht="16.8" customHeight="1" x14ac:dyDescent="0.3">
      <c r="A2" t="s">
        <v>25</v>
      </c>
      <c r="B2" t="s">
        <v>0</v>
      </c>
      <c r="C2" t="s">
        <v>2</v>
      </c>
      <c r="D2" t="s">
        <v>1</v>
      </c>
      <c r="F2" t="s">
        <v>27</v>
      </c>
      <c r="G2" t="s">
        <v>18</v>
      </c>
      <c r="H2" t="s">
        <v>20</v>
      </c>
      <c r="I2" t="s">
        <v>19</v>
      </c>
      <c r="J2" t="s">
        <v>21</v>
      </c>
      <c r="L2" t="s">
        <v>17</v>
      </c>
      <c r="M2" t="s">
        <v>16</v>
      </c>
      <c r="N2" t="s">
        <v>22</v>
      </c>
      <c r="O2" t="s">
        <v>26</v>
      </c>
      <c r="P2" t="s">
        <v>11</v>
      </c>
      <c r="Q2" s="1" t="s">
        <v>3</v>
      </c>
      <c r="R2" s="1"/>
      <c r="S2" t="s">
        <v>23</v>
      </c>
      <c r="T2" s="1" t="s">
        <v>4</v>
      </c>
      <c r="U2" t="s">
        <v>24</v>
      </c>
      <c r="V2" s="1" t="s">
        <v>5</v>
      </c>
      <c r="W2" t="s">
        <v>6</v>
      </c>
      <c r="X2" s="1" t="s">
        <v>7</v>
      </c>
      <c r="Z2" t="s">
        <v>12</v>
      </c>
      <c r="AA2" t="s">
        <v>8</v>
      </c>
      <c r="AB2" t="s">
        <v>13</v>
      </c>
      <c r="AC2" t="s">
        <v>9</v>
      </c>
      <c r="AD2" t="s">
        <v>15</v>
      </c>
      <c r="AE2" t="s">
        <v>14</v>
      </c>
    </row>
    <row r="3" spans="1:31" x14ac:dyDescent="0.3">
      <c r="A3">
        <v>2</v>
      </c>
      <c r="B3">
        <v>10</v>
      </c>
      <c r="C3">
        <v>30.2</v>
      </c>
      <c r="D3">
        <v>0.1</v>
      </c>
      <c r="F3">
        <v>198</v>
      </c>
      <c r="G3">
        <v>273.5</v>
      </c>
      <c r="H3">
        <v>0.5</v>
      </c>
      <c r="I3">
        <f>G3-F3</f>
        <v>75.5</v>
      </c>
      <c r="J3">
        <f>2*H3</f>
        <v>1</v>
      </c>
      <c r="L3">
        <v>1138</v>
      </c>
      <c r="M3">
        <v>993</v>
      </c>
      <c r="N3">
        <v>2</v>
      </c>
      <c r="O3">
        <v>2</v>
      </c>
      <c r="P3">
        <f>L3-M3</f>
        <v>145</v>
      </c>
      <c r="Q3">
        <f>O3+N3</f>
        <v>4</v>
      </c>
      <c r="S3">
        <f>(I3/10^3)/($AD$3*C3)</f>
        <v>2.5050100200400804E-6</v>
      </c>
      <c r="T3">
        <f>S3*SQRT((J3/I3)^2+(D3/C3)^2+($AE$3/$AD$3)^2)</f>
        <v>3.4292054268838759E-8</v>
      </c>
      <c r="U3">
        <f>S3/($Z$3/10^6)</f>
        <v>5.964309571524001E-4</v>
      </c>
      <c r="V3">
        <f>U3*SQRT((T3/S3)^2+($AA$3/$Z$3)^2)</f>
        <v>1.6380612974879218E-5</v>
      </c>
      <c r="W3">
        <f>P3/$AB$3</f>
        <v>0.4380664652567976</v>
      </c>
      <c r="X3">
        <f>W3*SQRT((Q3/P3)^2+($AC$3/$AB$3)^2)</f>
        <v>1.2102696241490761E-2</v>
      </c>
      <c r="Z3">
        <v>4200</v>
      </c>
      <c r="AA3">
        <v>100</v>
      </c>
      <c r="AB3">
        <v>331</v>
      </c>
      <c r="AC3">
        <v>0.5</v>
      </c>
      <c r="AD3">
        <v>998</v>
      </c>
      <c r="AE3">
        <v>1</v>
      </c>
    </row>
    <row r="4" spans="1:31" x14ac:dyDescent="0.3">
      <c r="A4">
        <v>4</v>
      </c>
      <c r="B4">
        <v>9</v>
      </c>
      <c r="C4">
        <v>30</v>
      </c>
      <c r="D4">
        <v>0.1</v>
      </c>
      <c r="F4">
        <v>197.5</v>
      </c>
      <c r="G4">
        <v>299.5</v>
      </c>
      <c r="H4">
        <v>0.5</v>
      </c>
      <c r="I4">
        <f>G4-F4</f>
        <v>102</v>
      </c>
      <c r="J4">
        <f>2*H4</f>
        <v>1</v>
      </c>
      <c r="L4">
        <v>1115</v>
      </c>
      <c r="M4">
        <v>932</v>
      </c>
      <c r="N4">
        <v>2</v>
      </c>
      <c r="O4">
        <v>2</v>
      </c>
      <c r="P4">
        <f>L4-M4</f>
        <v>183</v>
      </c>
      <c r="Q4">
        <f>O4+N4</f>
        <v>4</v>
      </c>
      <c r="S4">
        <f>(I4/10^3)/($AD$3*C4)</f>
        <v>3.406813627254509E-6</v>
      </c>
      <c r="T4">
        <f>S4*SQRT((J4/I4)^2+(D4/C4)^2+($AE$3/$AD$3)^2)</f>
        <v>3.5442652785390082E-8</v>
      </c>
      <c r="U4">
        <f>S4/($Z$3/10^6)</f>
        <v>8.1114610172726409E-4</v>
      </c>
      <c r="V4">
        <f>U4*SQRT((T4/S4)^2+($AA$3/$Z$3)^2)</f>
        <v>2.1076151770803291E-5</v>
      </c>
      <c r="W4">
        <f>P4/$AB$3</f>
        <v>0.55287009063444104</v>
      </c>
      <c r="X4">
        <f>W4*SQRT((Q4/P4)^2+($AC$3/$AB$3)^2)</f>
        <v>1.2113415902573529E-2</v>
      </c>
    </row>
    <row r="5" spans="1:31" x14ac:dyDescent="0.3">
      <c r="A5">
        <v>6</v>
      </c>
      <c r="B5">
        <v>11</v>
      </c>
      <c r="C5">
        <v>29.9</v>
      </c>
      <c r="D5">
        <v>0.1</v>
      </c>
      <c r="F5">
        <v>198</v>
      </c>
      <c r="G5">
        <v>321</v>
      </c>
      <c r="H5">
        <v>0.5</v>
      </c>
      <c r="I5">
        <f>G5-F5</f>
        <v>123</v>
      </c>
      <c r="J5">
        <f>2*H5</f>
        <v>1</v>
      </c>
      <c r="L5">
        <v>1115</v>
      </c>
      <c r="M5">
        <v>889</v>
      </c>
      <c r="N5">
        <v>2</v>
      </c>
      <c r="O5">
        <v>2</v>
      </c>
      <c r="P5">
        <f>L5-M5</f>
        <v>226</v>
      </c>
      <c r="Q5">
        <f>O5+N5</f>
        <v>4</v>
      </c>
      <c r="S5">
        <f>(I5/10^3)/($AD$3*C5)</f>
        <v>4.121956287156253E-6</v>
      </c>
      <c r="T5">
        <f>S5*SQRT((J5/I5)^2+(D5/C5)^2+($AE$3/$AD$3)^2)</f>
        <v>3.6471229298589113E-8</v>
      </c>
      <c r="U5">
        <f>S5/($Z$3/10^6)</f>
        <v>9.8141816360863181E-4</v>
      </c>
      <c r="V5">
        <f>U5*SQRT((T5/S5)^2+($AA$3/$Z$3)^2)</f>
        <v>2.4928431214823366E-5</v>
      </c>
      <c r="W5">
        <f>P5/$AB$3</f>
        <v>0.68277945619335345</v>
      </c>
      <c r="X5">
        <f>W5*SQRT((Q5/P5)^2+($AC$3/$AB$3)^2)</f>
        <v>1.2128525482848011E-2</v>
      </c>
    </row>
    <row r="6" spans="1:31" x14ac:dyDescent="0.3">
      <c r="A6">
        <v>8</v>
      </c>
      <c r="B6">
        <v>8</v>
      </c>
      <c r="C6">
        <v>30</v>
      </c>
      <c r="D6">
        <v>0.1</v>
      </c>
      <c r="F6">
        <v>198</v>
      </c>
      <c r="G6">
        <v>340</v>
      </c>
      <c r="H6">
        <v>0.5</v>
      </c>
      <c r="I6">
        <f>G6-F6</f>
        <v>142</v>
      </c>
      <c r="J6">
        <f>2*H6</f>
        <v>1</v>
      </c>
      <c r="L6">
        <v>1094</v>
      </c>
      <c r="M6">
        <v>839</v>
      </c>
      <c r="N6">
        <v>2</v>
      </c>
      <c r="O6">
        <v>2</v>
      </c>
      <c r="P6">
        <f>L6-M6</f>
        <v>255</v>
      </c>
      <c r="Q6">
        <f>O6+N6</f>
        <v>4</v>
      </c>
      <c r="S6">
        <f>(I6/10^3)/($AD$3*C6)</f>
        <v>4.7428189712758846E-6</v>
      </c>
      <c r="T6">
        <f>S6*SQRT((J6/I6)^2+(D6/C6)^2+($AE$3/$AD$3)^2)</f>
        <v>3.7257086899611824E-8</v>
      </c>
      <c r="U6">
        <f>S6/($Z$3/10^6)</f>
        <v>1.129242612208544E-3</v>
      </c>
      <c r="V6">
        <f>U6*SQRT((T6/S6)^2+($AA$3/$Z$3)^2)</f>
        <v>2.8312296408463423E-5</v>
      </c>
      <c r="W6">
        <f>P6/$AB$3</f>
        <v>0.77039274924471302</v>
      </c>
      <c r="X6">
        <f>W6*SQRT((Q6/P6)^2+($AC$3/$AB$3)^2)</f>
        <v>1.2140496163327807E-2</v>
      </c>
    </row>
    <row r="7" spans="1:31" x14ac:dyDescent="0.3">
      <c r="A7">
        <v>10</v>
      </c>
      <c r="B7">
        <v>7</v>
      </c>
      <c r="C7">
        <v>30.1</v>
      </c>
      <c r="D7">
        <v>0.1</v>
      </c>
      <c r="F7">
        <v>197.5</v>
      </c>
      <c r="G7">
        <v>358</v>
      </c>
      <c r="H7">
        <v>0.5</v>
      </c>
      <c r="I7">
        <f>G7-F7</f>
        <v>160.5</v>
      </c>
      <c r="J7">
        <f>2*H7</f>
        <v>1</v>
      </c>
      <c r="L7">
        <v>1083</v>
      </c>
      <c r="M7">
        <v>791</v>
      </c>
      <c r="N7">
        <v>2</v>
      </c>
      <c r="O7">
        <v>2</v>
      </c>
      <c r="P7">
        <f>L7-M7</f>
        <v>292</v>
      </c>
      <c r="Q7">
        <f>O7+N7</f>
        <v>4</v>
      </c>
      <c r="S7">
        <f>(I7/10^3)/($AD$3*C7)</f>
        <v>5.3429117370954528E-6</v>
      </c>
      <c r="T7">
        <f>S7*SQRT((J7/I7)^2+(D7/C7)^2+($AE$3/$AD$3)^2)</f>
        <v>3.810395820831726E-8</v>
      </c>
      <c r="U7">
        <f>S7/($Z$3/10^6)</f>
        <v>1.272121842165584E-3</v>
      </c>
      <c r="V7">
        <f>U7*SQRT((T7/S7)^2+($AA$3/$Z$3)^2)</f>
        <v>3.1618161422865852E-5</v>
      </c>
      <c r="W7">
        <f>P7/$AB$3</f>
        <v>0.8821752265861027</v>
      </c>
      <c r="X7">
        <f>W7*SQRT((Q7/P7)^2+($AC$3/$AB$3)^2)</f>
        <v>1.215784380647268E-2</v>
      </c>
    </row>
    <row r="8" spans="1:31" x14ac:dyDescent="0.3">
      <c r="A8">
        <v>13</v>
      </c>
      <c r="B8">
        <v>6</v>
      </c>
      <c r="C8">
        <v>30.1</v>
      </c>
      <c r="D8">
        <v>0.1</v>
      </c>
      <c r="F8">
        <v>198.5</v>
      </c>
      <c r="G8">
        <v>397.5</v>
      </c>
      <c r="H8">
        <v>0.5</v>
      </c>
      <c r="I8">
        <f>G8-F8</f>
        <v>199</v>
      </c>
      <c r="J8">
        <f>2*H8</f>
        <v>1</v>
      </c>
      <c r="L8">
        <v>1060</v>
      </c>
      <c r="M8">
        <v>694</v>
      </c>
      <c r="N8">
        <v>2</v>
      </c>
      <c r="O8">
        <v>4</v>
      </c>
      <c r="P8">
        <f>L8-M8</f>
        <v>366</v>
      </c>
      <c r="Q8">
        <f>O8+N8</f>
        <v>6</v>
      </c>
      <c r="S8">
        <f>(I8/10^3)/($AD$3*C8)</f>
        <v>6.6245447706043312E-6</v>
      </c>
      <c r="T8">
        <f>S8*SQRT((J8/I8)^2+(D8/C8)^2+($AE$3/$AD$3)^2)</f>
        <v>4.0454932254959881E-8</v>
      </c>
      <c r="U8">
        <f>S8/($Z$3/10^6)</f>
        <v>1.5772725644296027E-3</v>
      </c>
      <c r="V8">
        <f>U8*SQRT((T8/S8)^2+($AA$3/$Z$3)^2)</f>
        <v>3.8769691046076259E-5</v>
      </c>
      <c r="W8">
        <f>P8/$AB$3</f>
        <v>1.1057401812688821</v>
      </c>
      <c r="X8">
        <f>W8*SQRT((Q8/P8)^2+($AC$3/$AB$3)^2)</f>
        <v>1.8203680576191282E-2</v>
      </c>
    </row>
    <row r="9" spans="1:31" x14ac:dyDescent="0.3">
      <c r="A9">
        <v>15</v>
      </c>
      <c r="B9">
        <v>1</v>
      </c>
      <c r="C9">
        <v>30.1</v>
      </c>
      <c r="D9">
        <v>0.1</v>
      </c>
      <c r="F9">
        <v>198</v>
      </c>
      <c r="G9">
        <v>420</v>
      </c>
      <c r="H9">
        <v>0.5</v>
      </c>
      <c r="I9">
        <f>G9-F9</f>
        <v>222</v>
      </c>
      <c r="J9">
        <f>2*H9</f>
        <v>1</v>
      </c>
      <c r="L9">
        <v>1048</v>
      </c>
      <c r="M9">
        <v>486</v>
      </c>
      <c r="N9">
        <v>2</v>
      </c>
      <c r="O9">
        <v>2</v>
      </c>
      <c r="P9">
        <f>L9-M9</f>
        <v>562</v>
      </c>
      <c r="Q9">
        <f>O9+N9</f>
        <v>4</v>
      </c>
      <c r="S9">
        <f>(I9/10^3)/($AD$3*C9)</f>
        <v>7.3901956737395054E-6</v>
      </c>
      <c r="T9">
        <f>S9*SQRT((J9/I9)^2+(D9/C9)^2+($AE$3/$AD$3)^2)</f>
        <v>4.2021551106583754E-8</v>
      </c>
      <c r="U9">
        <f>S9/($Z$3/10^6)</f>
        <v>1.759570398509406E-3</v>
      </c>
      <c r="V9">
        <f>U9*SQRT((T9/S9)^2+($AA$3/$Z$3)^2)</f>
        <v>4.307266616881891E-5</v>
      </c>
      <c r="W9">
        <f>P9/$AB$3</f>
        <v>1.6978851963746224</v>
      </c>
      <c r="X9">
        <f>W9*SQRT((Q9/P9)^2+($AC$3/$AB$3)^2)</f>
        <v>1.2353763403938013E-2</v>
      </c>
    </row>
    <row r="10" spans="1:31" x14ac:dyDescent="0.3">
      <c r="A10">
        <v>16</v>
      </c>
      <c r="B10">
        <v>5</v>
      </c>
      <c r="C10">
        <v>29.9</v>
      </c>
      <c r="D10">
        <v>0.1</v>
      </c>
      <c r="F10">
        <v>197</v>
      </c>
      <c r="G10">
        <v>436</v>
      </c>
      <c r="H10">
        <v>0.5</v>
      </c>
      <c r="I10">
        <f>G10-F10</f>
        <v>239</v>
      </c>
      <c r="J10">
        <f>2*H10</f>
        <v>1</v>
      </c>
      <c r="L10">
        <v>1040</v>
      </c>
      <c r="M10">
        <v>600</v>
      </c>
      <c r="N10">
        <v>2</v>
      </c>
      <c r="O10">
        <v>3</v>
      </c>
      <c r="P10">
        <f>L10-M10</f>
        <v>440</v>
      </c>
      <c r="Q10">
        <f>O10+N10</f>
        <v>5</v>
      </c>
      <c r="S10">
        <f>(I10/10^3)/($AD$3*C10)</f>
        <v>8.0093296961816622E-6</v>
      </c>
      <c r="T10">
        <f>S10*SQRT((J10/I10)^2+(D10/C10)^2+($AE$3/$AD$3)^2)</f>
        <v>4.364626552580502E-8</v>
      </c>
      <c r="U10">
        <f>S10/($Z$3/10^6)</f>
        <v>1.9069832609956339E-3</v>
      </c>
      <c r="V10">
        <f>U10*SQRT((T10/S10)^2+($AA$3/$Z$3)^2)</f>
        <v>4.6578420007594534E-5</v>
      </c>
      <c r="W10">
        <f>P10/$AB$3</f>
        <v>1.3293051359516617</v>
      </c>
      <c r="X10">
        <f>W10*SQRT((Q10/P10)^2+($AC$3/$AB$3)^2)</f>
        <v>1.5238618895658656E-2</v>
      </c>
    </row>
    <row r="11" spans="1:31" x14ac:dyDescent="0.3">
      <c r="A11">
        <v>18</v>
      </c>
      <c r="B11">
        <v>2</v>
      </c>
      <c r="C11">
        <v>30</v>
      </c>
      <c r="D11">
        <v>0.1</v>
      </c>
      <c r="F11">
        <v>198</v>
      </c>
      <c r="G11">
        <v>461</v>
      </c>
      <c r="H11">
        <v>0.5</v>
      </c>
      <c r="I11">
        <f>G11-F11</f>
        <v>263</v>
      </c>
      <c r="J11">
        <f>2*H11</f>
        <v>1</v>
      </c>
      <c r="L11">
        <v>1016</v>
      </c>
      <c r="M11">
        <v>380</v>
      </c>
      <c r="N11">
        <v>2</v>
      </c>
      <c r="O11">
        <v>2</v>
      </c>
      <c r="P11">
        <f>L11-M11</f>
        <v>636</v>
      </c>
      <c r="Q11">
        <f>O11+N11</f>
        <v>4</v>
      </c>
      <c r="S11">
        <f>(I11/10^3)/($AD$3*C11)</f>
        <v>8.7842351369405489E-6</v>
      </c>
      <c r="T11">
        <f>S11*SQRT((J11/I11)^2+(D11/C11)^2+($AE$3/$AD$3)^2)</f>
        <v>4.5281404465810625E-8</v>
      </c>
      <c r="U11">
        <f>S11/($Z$3/10^6)</f>
        <v>2.0914845564144165E-3</v>
      </c>
      <c r="V11">
        <f>U11*SQRT((T11/S11)^2+($AA$3/$Z$3)^2)</f>
        <v>5.0950980225292664E-5</v>
      </c>
      <c r="W11">
        <f>P11/$AB$3</f>
        <v>1.9214501510574018</v>
      </c>
      <c r="X11">
        <f>W11*SQRT((Q11/P11)^2+($AC$3/$AB$3)^2)</f>
        <v>1.242826741913804E-2</v>
      </c>
    </row>
    <row r="12" spans="1:31" x14ac:dyDescent="0.3">
      <c r="A12">
        <v>21</v>
      </c>
      <c r="B12">
        <v>4</v>
      </c>
      <c r="C12">
        <v>29.9</v>
      </c>
      <c r="D12">
        <v>0.1</v>
      </c>
      <c r="F12">
        <v>198</v>
      </c>
      <c r="G12">
        <v>502.5</v>
      </c>
      <c r="H12">
        <v>0.5</v>
      </c>
      <c r="I12">
        <f>G12-F12</f>
        <v>304.5</v>
      </c>
      <c r="J12">
        <f>2*H12</f>
        <v>1</v>
      </c>
      <c r="L12">
        <v>980</v>
      </c>
      <c r="M12">
        <v>404</v>
      </c>
      <c r="N12">
        <v>2</v>
      </c>
      <c r="O12">
        <v>6</v>
      </c>
      <c r="P12">
        <f>L12-M12</f>
        <v>576</v>
      </c>
      <c r="Q12">
        <f>O12+N12</f>
        <v>8</v>
      </c>
      <c r="S12">
        <f>(I12/10^3)/($AD$3*C12)</f>
        <v>1.0204355198691699E-5</v>
      </c>
      <c r="T12">
        <f>S12*SQRT((J12/I12)^2+(D12/C12)^2+($AE$3/$AD$3)^2)</f>
        <v>4.8911444595405938E-8</v>
      </c>
      <c r="U12">
        <f>S12/($Z$3/10^6)</f>
        <v>2.4296083806408806E-3</v>
      </c>
      <c r="V12">
        <f>U12*SQRT((T12/S12)^2+($AA$3/$Z$3)^2)</f>
        <v>5.9008386661903181E-5</v>
      </c>
      <c r="W12">
        <f>P12/$AB$3</f>
        <v>1.7401812688821752</v>
      </c>
      <c r="X12">
        <f>W12*SQRT((Q12/P12)^2+($AC$3/$AB$3)^2)</f>
        <v>2.4311712998973202E-2</v>
      </c>
    </row>
    <row r="13" spans="1:31" x14ac:dyDescent="0.3">
      <c r="A13">
        <v>23</v>
      </c>
      <c r="B13">
        <v>12</v>
      </c>
      <c r="C13">
        <v>30.4</v>
      </c>
      <c r="D13">
        <v>0.1</v>
      </c>
      <c r="F13">
        <v>197.5</v>
      </c>
      <c r="G13">
        <v>536.5</v>
      </c>
      <c r="H13">
        <v>0.5</v>
      </c>
      <c r="I13">
        <f>G13-F13</f>
        <v>339</v>
      </c>
      <c r="J13">
        <f>2*H13</f>
        <v>1</v>
      </c>
      <c r="L13">
        <v>976</v>
      </c>
      <c r="M13">
        <v>380</v>
      </c>
      <c r="N13">
        <v>2</v>
      </c>
      <c r="O13">
        <v>2</v>
      </c>
      <c r="P13">
        <f>L13-M13</f>
        <v>596</v>
      </c>
      <c r="Q13">
        <f>O13+N13</f>
        <v>4</v>
      </c>
      <c r="S13">
        <f>(I13/10^3)/($AD$3*C13)</f>
        <v>1.1173663115705097E-5</v>
      </c>
      <c r="T13">
        <f>S13*SQRT((J13/I13)^2+(D13/C13)^2+($AE$3/$AD$3)^2)</f>
        <v>5.0623327338103899E-8</v>
      </c>
      <c r="U13">
        <f>S13/($Z$3/10^6)</f>
        <v>2.6603959799297852E-3</v>
      </c>
      <c r="V13">
        <f>U13*SQRT((T13/S13)^2+($AA$3/$Z$3)^2)</f>
        <v>6.4479333191259661E-5</v>
      </c>
      <c r="W13">
        <f>P13/$AB$3</f>
        <v>1.8006042296072509</v>
      </c>
      <c r="X13">
        <f>W13*SQRT((Q13/P13)^2+($AC$3/$AB$3)^2)</f>
        <v>1.2386907336791842E-2</v>
      </c>
    </row>
    <row r="14" spans="1:31" x14ac:dyDescent="0.3">
      <c r="A14">
        <v>26</v>
      </c>
      <c r="B14">
        <v>3</v>
      </c>
      <c r="C14">
        <v>30</v>
      </c>
      <c r="D14">
        <v>0.1</v>
      </c>
      <c r="F14">
        <v>199.5</v>
      </c>
      <c r="G14">
        <v>576.5</v>
      </c>
      <c r="H14">
        <v>0.5</v>
      </c>
      <c r="I14">
        <f>G14-F14</f>
        <v>377</v>
      </c>
      <c r="J14">
        <f>2*H14</f>
        <v>1</v>
      </c>
      <c r="L14">
        <v>926</v>
      </c>
      <c r="M14">
        <v>174</v>
      </c>
      <c r="N14">
        <v>2</v>
      </c>
      <c r="O14">
        <v>10</v>
      </c>
      <c r="P14">
        <f>L14-M14</f>
        <v>752</v>
      </c>
      <c r="Q14">
        <f>O14+N14</f>
        <v>12</v>
      </c>
      <c r="S14">
        <f>(I14/10^3)/($AD$3*C14)</f>
        <v>1.259185036740147E-5</v>
      </c>
      <c r="T14">
        <f>S14*SQRT((J14/I14)^2+(D14/C14)^2+($AE$3/$AD$3)^2)</f>
        <v>5.5104251991726919E-8</v>
      </c>
      <c r="U14">
        <f>S14/($Z$3/10^6)</f>
        <v>2.9980596112860643E-3</v>
      </c>
      <c r="V14">
        <f>U14*SQRT((T14/S14)^2+($AA$3/$Z$3)^2)</f>
        <v>7.2578088728497025E-5</v>
      </c>
      <c r="W14">
        <f>P14/$AB$3</f>
        <v>2.2719033232628401</v>
      </c>
      <c r="X14">
        <f>W14*SQRT((Q14/P14)^2+($AC$3/$AB$3)^2)</f>
        <v>3.6415849479503985E-2</v>
      </c>
    </row>
    <row r="15" spans="1:31" x14ac:dyDescent="0.3">
      <c r="A15">
        <v>26</v>
      </c>
      <c r="B15">
        <v>13</v>
      </c>
      <c r="C15">
        <v>29.9</v>
      </c>
      <c r="D15">
        <v>0.1</v>
      </c>
      <c r="F15">
        <v>198</v>
      </c>
      <c r="G15">
        <v>574</v>
      </c>
      <c r="H15">
        <v>0.5</v>
      </c>
      <c r="I15">
        <f>G15-F15</f>
        <v>376</v>
      </c>
      <c r="J15">
        <f>2*H15</f>
        <v>1</v>
      </c>
      <c r="L15">
        <v>942</v>
      </c>
      <c r="M15">
        <v>279</v>
      </c>
      <c r="N15">
        <v>2</v>
      </c>
      <c r="O15">
        <v>2</v>
      </c>
      <c r="P15">
        <f>L15-M15</f>
        <v>663</v>
      </c>
      <c r="Q15">
        <f>O15+N15</f>
        <v>4</v>
      </c>
      <c r="S15">
        <f>(I15/10^3)/($AD$3*C15)</f>
        <v>1.2600451739599601E-5</v>
      </c>
      <c r="T15">
        <f>S15*SQRT((J15/I15)^2+(D15/C15)^2+($AE$3/$AD$3)^2)</f>
        <v>5.5302786380944353E-8</v>
      </c>
      <c r="U15">
        <f>S15/($Z$3/10^6)</f>
        <v>3.0001075570475241E-3</v>
      </c>
      <c r="V15">
        <f>U15*SQRT((T15/S15)^2+($AA$3/$Z$3)^2)</f>
        <v>7.2634600879331815E-5</v>
      </c>
      <c r="W15">
        <f>P15/$AB$3</f>
        <v>2.0030211480362539</v>
      </c>
      <c r="X15">
        <f>W15*SQRT((Q15/P15)^2+($AC$3/$AB$3)^2)</f>
        <v>1.2457620102851751E-2</v>
      </c>
    </row>
    <row r="16" spans="1:31" x14ac:dyDescent="0.3">
      <c r="B16">
        <v>14</v>
      </c>
      <c r="D16">
        <v>0.1</v>
      </c>
      <c r="H16">
        <v>0.5</v>
      </c>
      <c r="I16">
        <f>G16-F16</f>
        <v>0</v>
      </c>
      <c r="J16">
        <f>2*H16</f>
        <v>1</v>
      </c>
      <c r="N16">
        <v>2</v>
      </c>
      <c r="O16">
        <v>2</v>
      </c>
      <c r="P16">
        <f>L16-M16</f>
        <v>0</v>
      </c>
      <c r="Q16">
        <f>O16+N16</f>
        <v>4</v>
      </c>
      <c r="S16" t="e">
        <f>(I16/10^3)/($AD$3*C16)</f>
        <v>#DIV/0!</v>
      </c>
      <c r="T16" t="e">
        <f>S16*SQRT((J16/I16)^2+(D16/C16)^2+($AE$3/$AD$3)^2)</f>
        <v>#DIV/0!</v>
      </c>
      <c r="U16" t="e">
        <f>S16/($Z$3/10^6)</f>
        <v>#DIV/0!</v>
      </c>
      <c r="V16" t="e">
        <f>U16*SQRT((T16/S16)^2+($AA$3/$Z$3)^2)</f>
        <v>#DIV/0!</v>
      </c>
      <c r="W16">
        <f>P16/$AB$3</f>
        <v>0</v>
      </c>
      <c r="X16" t="e">
        <f>W16*SQRT((Q16/P16)^2+($AC$3/$AB$3)^2)</f>
        <v>#DIV/0!</v>
      </c>
    </row>
    <row r="19" spans="12:19" x14ac:dyDescent="0.3">
      <c r="L19" t="s">
        <v>10</v>
      </c>
    </row>
    <row r="20" spans="12:19" x14ac:dyDescent="0.3">
      <c r="S20" t="s">
        <v>10</v>
      </c>
    </row>
  </sheetData>
  <sortState xmlns:xlrd2="http://schemas.microsoft.com/office/spreadsheetml/2017/richdata2" ref="A3:X16">
    <sortCondition ref="A3:A16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Onillon</dc:creator>
  <cp:lastModifiedBy>Nicolas Onillon</cp:lastModifiedBy>
  <dcterms:created xsi:type="dcterms:W3CDTF">2015-06-05T18:19:34Z</dcterms:created>
  <dcterms:modified xsi:type="dcterms:W3CDTF">2026-03-12T11:57:14Z</dcterms:modified>
</cp:coreProperties>
</file>