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4F5A1A30-5D6D-46C6-83F6-65248240C8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4" i="1" l="1"/>
  <c r="P14" i="1"/>
  <c r="W14" i="1" s="1"/>
  <c r="J14" i="1"/>
  <c r="I14" i="1"/>
  <c r="S14" i="1" s="1"/>
  <c r="U14" i="1" s="1"/>
  <c r="Q10" i="1"/>
  <c r="Q13" i="1"/>
  <c r="Q11" i="1"/>
  <c r="Q9" i="1"/>
  <c r="Q7" i="1"/>
  <c r="Q6" i="1"/>
  <c r="Q5" i="1"/>
  <c r="Q3" i="1"/>
  <c r="Q2" i="1"/>
  <c r="Q4" i="1"/>
  <c r="Q12" i="1"/>
  <c r="Q8" i="1"/>
  <c r="I10" i="1"/>
  <c r="S10" i="1" s="1"/>
  <c r="I13" i="1"/>
  <c r="S13" i="1" s="1"/>
  <c r="I11" i="1"/>
  <c r="S11" i="1" s="1"/>
  <c r="U11" i="1" s="1"/>
  <c r="I9" i="1"/>
  <c r="S9" i="1" s="1"/>
  <c r="U9" i="1" s="1"/>
  <c r="I7" i="1"/>
  <c r="S7" i="1" s="1"/>
  <c r="I6" i="1"/>
  <c r="I5" i="1"/>
  <c r="S5" i="1" s="1"/>
  <c r="U5" i="1" s="1"/>
  <c r="I3" i="1"/>
  <c r="S3" i="1" s="1"/>
  <c r="U3" i="1" s="1"/>
  <c r="I2" i="1"/>
  <c r="S2" i="1" s="1"/>
  <c r="U2" i="1" s="1"/>
  <c r="I4" i="1"/>
  <c r="S4" i="1" s="1"/>
  <c r="U4" i="1" s="1"/>
  <c r="I12" i="1"/>
  <c r="S12" i="1" s="1"/>
  <c r="U12" i="1" s="1"/>
  <c r="J10" i="1"/>
  <c r="J13" i="1"/>
  <c r="J11" i="1"/>
  <c r="J9" i="1"/>
  <c r="J7" i="1"/>
  <c r="J6" i="1"/>
  <c r="J5" i="1"/>
  <c r="J3" i="1"/>
  <c r="J2" i="1"/>
  <c r="J4" i="1"/>
  <c r="J12" i="1"/>
  <c r="I8" i="1"/>
  <c r="S8" i="1" s="1"/>
  <c r="U8" i="1" s="1"/>
  <c r="P10" i="1"/>
  <c r="W10" i="1" s="1"/>
  <c r="P13" i="1"/>
  <c r="W13" i="1" s="1"/>
  <c r="P11" i="1"/>
  <c r="W11" i="1" s="1"/>
  <c r="P9" i="1"/>
  <c r="W9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2" i="1"/>
  <c r="W12" i="1" s="1"/>
  <c r="P8" i="1"/>
  <c r="W8" i="1" s="1"/>
  <c r="J8" i="1"/>
  <c r="X7" i="1" l="1"/>
  <c r="X14" i="1"/>
  <c r="X10" i="1"/>
  <c r="T14" i="1"/>
  <c r="V14" i="1" s="1"/>
  <c r="X5" i="1"/>
  <c r="X6" i="1"/>
  <c r="X8" i="1"/>
  <c r="U10" i="1"/>
  <c r="V10" i="1" s="1"/>
  <c r="T10" i="1"/>
  <c r="T8" i="1"/>
  <c r="V8" i="1" s="1"/>
  <c r="X3" i="1"/>
  <c r="X9" i="1"/>
  <c r="S6" i="1"/>
  <c r="U6" i="1" s="1"/>
  <c r="T7" i="1"/>
  <c r="U7" i="1"/>
  <c r="T13" i="1"/>
  <c r="X11" i="1"/>
  <c r="X13" i="1"/>
  <c r="X12" i="1"/>
  <c r="X4" i="1"/>
  <c r="X2" i="1"/>
  <c r="T9" i="1"/>
  <c r="V9" i="1" s="1"/>
  <c r="T11" i="1"/>
  <c r="V11" i="1" s="1"/>
  <c r="T4" i="1"/>
  <c r="V4" i="1" s="1"/>
  <c r="T5" i="1"/>
  <c r="V5" i="1" s="1"/>
  <c r="U13" i="1"/>
  <c r="T3" i="1"/>
  <c r="V3" i="1" s="1"/>
  <c r="T12" i="1"/>
  <c r="V12" i="1" s="1"/>
  <c r="T2" i="1"/>
  <c r="V7" i="1" l="1"/>
  <c r="T6" i="1"/>
  <c r="V6" i="1" s="1"/>
  <c r="V13" i="1"/>
  <c r="V2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<sst xmlns="http://schemas.openxmlformats.org/spreadsheetml/2006/main" count="29" uniqueCount="28">
  <si>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</si>
  <si>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</si>
  <si>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</si>
  <si>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</si>
  <si>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</si>
  <si>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</si>
  <si>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</si>
  <si>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</si>
  <si>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</si>
  <si>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</si>
  <si>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</si>
  <si>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</si>
  <si>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</si>
  <si>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</si>
  <si>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</si>
  <si>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</si>
  <si>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</si>
  <si>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</si>
  <si>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</si>
  <si>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</si>
  <si>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</si>
  <si>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</si>
  <si>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</si>
  <si>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</si>
  <si>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flux_Darcy_(m/s)</t>
  </si>
  <si>
    <t>vitesse</t>
  </si>
  <si>
    <t>err_b</t>
  </si>
  <si>
    <t>tare_(g)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</si>
</sst>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9"/>
  <sheetViews>
    <sheetView tabSelected="1" workbookViewId="0">
      <selection activeCell="M17" sqref="M17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4.886718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25</v>
      </c>
      <c r="B1" t="s">
        <v>0</v>
      </c>
      <c r="C1" t="s">
        <v>2</v>
      </c>
      <c r="D1" t="s">
        <v>1</v>
      </c>
      <c r="F1" t="s">
        <v>27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26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24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5" si="0">G2-F2</f>
        <v>75.5</v>
      </c>
      <c r="J2">
        <f t="shared" ref="J2:J15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5" si="2">L2-M2</f>
        <v>145</v>
      </c>
      <c r="Q2">
        <f t="shared" ref="Q2:Q15" si="3">O2+N2</f>
        <v>4</v>
      </c>
      <c r="S2">
        <f t="shared" ref="S2:S15" si="4">(I2/10^3)/($AD$2*C2)</f>
        <v>2.5050100200400804E-6</v>
      </c>
      <c r="T2">
        <f t="shared" ref="T2:T15" si="5">S2*SQRT((J2/I2)^2+(D2/C2)^2+($AE$2/$AD$2)^2)</f>
        <v>3.4292054268838759E-8</v>
      </c>
      <c r="U2">
        <f t="shared" ref="U2:U15" si="6">S2/($Z$2/10^6)</f>
        <v>5.964309571524001E-4</v>
      </c>
      <c r="V2">
        <f t="shared" ref="V2:V15" si="7">U2*SQRT((T2/S2)^2+($AA$2/$Z$2)^2)</f>
        <v>1.6380612974879218E-5</v>
      </c>
      <c r="W2">
        <f t="shared" ref="W2:W15" si="8">P2/$AB$2</f>
        <v>0.4380664652567976</v>
      </c>
      <c r="X2">
        <f t="shared" ref="X2:X15" si="9">W2*SQRT((Q2/P2)^2+($AC$2/$AB$2)^2)</f>
        <v>1.2102696241490761E-2</v>
      </c>
      <c r="Z2">
        <v>4200</v>
      </c>
      <c r="AA2">
        <v>100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si="4"/>
        <v>3.406813627254509E-6</v>
      </c>
      <c r="T3">
        <f t="shared" si="5"/>
        <v>3.5442652785390082E-8</v>
      </c>
      <c r="U3">
        <f t="shared" si="6"/>
        <v>8.1114610172726409E-4</v>
      </c>
      <c r="V3">
        <f t="shared" si="7"/>
        <v>2.1076151770803291E-5</v>
      </c>
      <c r="W3">
        <f t="shared" si="8"/>
        <v>0.55287009063444104</v>
      </c>
      <c r="X3">
        <f t="shared" si="9"/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4"/>
        <v>4.121956287156253E-6</v>
      </c>
      <c r="T4">
        <f t="shared" si="5"/>
        <v>3.6471229298589113E-8</v>
      </c>
      <c r="U4">
        <f t="shared" si="6"/>
        <v>9.8141816360863181E-4</v>
      </c>
      <c r="V4">
        <f t="shared" si="7"/>
        <v>2.4928431214823366E-5</v>
      </c>
      <c r="W4">
        <f t="shared" si="8"/>
        <v>0.68277945619335345</v>
      </c>
      <c r="X4">
        <f t="shared" si="9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4"/>
        <v>4.7428189712758846E-6</v>
      </c>
      <c r="T5">
        <f t="shared" si="5"/>
        <v>3.7257086899611824E-8</v>
      </c>
      <c r="U5">
        <f t="shared" si="6"/>
        <v>1.129242612208544E-3</v>
      </c>
      <c r="V5">
        <f t="shared" si="7"/>
        <v>2.8312296408463423E-5</v>
      </c>
      <c r="W5">
        <f t="shared" si="8"/>
        <v>0.77039274924471302</v>
      </c>
      <c r="X5">
        <f t="shared" si="9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4"/>
        <v>5.3429117370954528E-6</v>
      </c>
      <c r="T6">
        <f t="shared" si="5"/>
        <v>3.810395820831726E-8</v>
      </c>
      <c r="U6">
        <f t="shared" si="6"/>
        <v>1.272121842165584E-3</v>
      </c>
      <c r="V6">
        <f t="shared" si="7"/>
        <v>3.1618161422865852E-5</v>
      </c>
      <c r="W6">
        <f t="shared" si="8"/>
        <v>0.8821752265861027</v>
      </c>
      <c r="X6">
        <f t="shared" si="9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4"/>
        <v>6.6245447706043312E-6</v>
      </c>
      <c r="T7">
        <f t="shared" si="5"/>
        <v>4.0454932254959881E-8</v>
      </c>
      <c r="U7">
        <f t="shared" si="6"/>
        <v>1.5772725644296027E-3</v>
      </c>
      <c r="V7">
        <f t="shared" si="7"/>
        <v>3.8769691046076259E-5</v>
      </c>
      <c r="W7">
        <f t="shared" si="8"/>
        <v>1.1057401812688821</v>
      </c>
      <c r="X7">
        <f t="shared" si="9"/>
        <v>1.8203680576191282E-2</v>
      </c>
    </row>
    <row r="8" spans="1:31" x14ac:dyDescent="0.3">
      <c r="A8">
        <v>15</v>
      </c>
      <c r="B8">
        <v>1</v>
      </c>
      <c r="C8">
        <v>30.1</v>
      </c>
      <c r="D8">
        <v>0.1</v>
      </c>
      <c r="F8">
        <v>198</v>
      </c>
      <c r="G8">
        <v>420</v>
      </c>
      <c r="H8">
        <v>0.5</v>
      </c>
      <c r="I8">
        <f t="shared" si="0"/>
        <v>222</v>
      </c>
      <c r="J8">
        <f t="shared" si="1"/>
        <v>1</v>
      </c>
      <c r="L8">
        <v>1048</v>
      </c>
      <c r="M8">
        <v>486</v>
      </c>
      <c r="N8">
        <v>2</v>
      </c>
      <c r="O8">
        <v>2</v>
      </c>
      <c r="P8">
        <f t="shared" si="2"/>
        <v>562</v>
      </c>
      <c r="Q8">
        <f t="shared" si="3"/>
        <v>4</v>
      </c>
      <c r="S8">
        <f t="shared" si="4"/>
        <v>7.3901956737395054E-6</v>
      </c>
      <c r="T8">
        <f t="shared" si="5"/>
        <v>4.2021551106583754E-8</v>
      </c>
      <c r="U8">
        <f t="shared" si="6"/>
        <v>1.759570398509406E-3</v>
      </c>
      <c r="V8">
        <f t="shared" si="7"/>
        <v>4.307266616881891E-5</v>
      </c>
      <c r="W8">
        <f t="shared" si="8"/>
        <v>1.6978851963746224</v>
      </c>
      <c r="X8">
        <f t="shared" si="9"/>
        <v>1.2353763403938013E-2</v>
      </c>
    </row>
    <row r="9" spans="1:31" x14ac:dyDescent="0.3">
      <c r="A9">
        <v>16</v>
      </c>
      <c r="B9">
        <v>5</v>
      </c>
      <c r="C9">
        <v>29.9</v>
      </c>
      <c r="D9">
        <v>0.1</v>
      </c>
      <c r="F9">
        <v>197</v>
      </c>
      <c r="G9">
        <v>436</v>
      </c>
      <c r="H9">
        <v>0.5</v>
      </c>
      <c r="I9">
        <f t="shared" si="0"/>
        <v>239</v>
      </c>
      <c r="J9">
        <f t="shared" si="1"/>
        <v>1</v>
      </c>
      <c r="L9">
        <v>1040</v>
      </c>
      <c r="M9">
        <v>600</v>
      </c>
      <c r="N9">
        <v>2</v>
      </c>
      <c r="O9">
        <v>3</v>
      </c>
      <c r="P9">
        <f t="shared" si="2"/>
        <v>440</v>
      </c>
      <c r="Q9">
        <f t="shared" si="3"/>
        <v>5</v>
      </c>
      <c r="S9">
        <f t="shared" si="4"/>
        <v>8.0093296961816622E-6</v>
      </c>
      <c r="T9">
        <f t="shared" si="5"/>
        <v>4.364626552580502E-8</v>
      </c>
      <c r="U9">
        <f t="shared" si="6"/>
        <v>1.9069832609956339E-3</v>
      </c>
      <c r="V9">
        <f t="shared" si="7"/>
        <v>4.6578420007594534E-5</v>
      </c>
      <c r="W9">
        <f t="shared" si="8"/>
        <v>1.3293051359516617</v>
      </c>
      <c r="X9">
        <f t="shared" si="9"/>
        <v>1.5238618895658656E-2</v>
      </c>
    </row>
    <row r="10" spans="1:31" x14ac:dyDescent="0.3">
      <c r="A10">
        <v>18</v>
      </c>
      <c r="B10">
        <v>2</v>
      </c>
      <c r="C10">
        <v>30</v>
      </c>
      <c r="D10">
        <v>0.1</v>
      </c>
      <c r="F10">
        <v>198</v>
      </c>
      <c r="G10">
        <v>461</v>
      </c>
      <c r="H10">
        <v>0.5</v>
      </c>
      <c r="I10">
        <f t="shared" si="0"/>
        <v>263</v>
      </c>
      <c r="J10">
        <f t="shared" si="1"/>
        <v>1</v>
      </c>
      <c r="L10">
        <v>1016</v>
      </c>
      <c r="M10">
        <v>380</v>
      </c>
      <c r="N10">
        <v>2</v>
      </c>
      <c r="O10">
        <v>2</v>
      </c>
      <c r="P10">
        <f t="shared" si="2"/>
        <v>636</v>
      </c>
      <c r="Q10">
        <f t="shared" si="3"/>
        <v>4</v>
      </c>
      <c r="S10">
        <f t="shared" si="4"/>
        <v>8.7842351369405489E-6</v>
      </c>
      <c r="T10">
        <f t="shared" si="5"/>
        <v>4.5281404465810625E-8</v>
      </c>
      <c r="U10">
        <f t="shared" si="6"/>
        <v>2.0914845564144165E-3</v>
      </c>
      <c r="V10">
        <f t="shared" si="7"/>
        <v>5.0950980225292664E-5</v>
      </c>
      <c r="W10">
        <f t="shared" si="8"/>
        <v>1.9214501510574018</v>
      </c>
      <c r="X10">
        <f t="shared" si="9"/>
        <v>1.242826741913804E-2</v>
      </c>
    </row>
    <row r="11" spans="1:31" x14ac:dyDescent="0.3">
      <c r="A11">
        <v>21</v>
      </c>
      <c r="B11">
        <v>4</v>
      </c>
      <c r="C11">
        <v>29.9</v>
      </c>
      <c r="D11">
        <v>0.1</v>
      </c>
      <c r="F11">
        <v>198</v>
      </c>
      <c r="G11">
        <v>502.5</v>
      </c>
      <c r="H11">
        <v>0.5</v>
      </c>
      <c r="I11">
        <f t="shared" si="0"/>
        <v>304.5</v>
      </c>
      <c r="J11">
        <f t="shared" si="1"/>
        <v>1</v>
      </c>
      <c r="L11">
        <v>980</v>
      </c>
      <c r="M11">
        <v>404</v>
      </c>
      <c r="N11">
        <v>2</v>
      </c>
      <c r="O11">
        <v>6</v>
      </c>
      <c r="P11">
        <f t="shared" si="2"/>
        <v>576</v>
      </c>
      <c r="Q11">
        <f t="shared" si="3"/>
        <v>8</v>
      </c>
      <c r="S11">
        <f t="shared" si="4"/>
        <v>1.0204355198691699E-5</v>
      </c>
      <c r="T11">
        <f t="shared" si="5"/>
        <v>4.8911444595405938E-8</v>
      </c>
      <c r="U11">
        <f t="shared" si="6"/>
        <v>2.4296083806408806E-3</v>
      </c>
      <c r="V11">
        <f t="shared" si="7"/>
        <v>5.9008386661903181E-5</v>
      </c>
      <c r="W11">
        <f t="shared" si="8"/>
        <v>1.7401812688821752</v>
      </c>
      <c r="X11">
        <f t="shared" si="9"/>
        <v>2.4311712998973202E-2</v>
      </c>
    </row>
    <row r="12" spans="1:31" x14ac:dyDescent="0.3">
      <c r="A12">
        <v>23</v>
      </c>
      <c r="B12">
        <v>12</v>
      </c>
      <c r="C12">
        <v>30.4</v>
      </c>
      <c r="D12">
        <v>0.1</v>
      </c>
      <c r="F12">
        <v>197.5</v>
      </c>
      <c r="G12">
        <v>536.5</v>
      </c>
      <c r="H12">
        <v>0.5</v>
      </c>
      <c r="I12">
        <f t="shared" si="0"/>
        <v>339</v>
      </c>
      <c r="J12">
        <f t="shared" si="1"/>
        <v>1</v>
      </c>
      <c r="L12">
        <v>976</v>
      </c>
      <c r="M12">
        <v>380</v>
      </c>
      <c r="N12">
        <v>2</v>
      </c>
      <c r="O12">
        <v>2</v>
      </c>
      <c r="P12">
        <f t="shared" si="2"/>
        <v>596</v>
      </c>
      <c r="Q12">
        <f t="shared" si="3"/>
        <v>4</v>
      </c>
      <c r="S12">
        <f t="shared" si="4"/>
        <v>1.1173663115705097E-5</v>
      </c>
      <c r="T12">
        <f t="shared" si="5"/>
        <v>5.0623327338103899E-8</v>
      </c>
      <c r="U12">
        <f t="shared" si="6"/>
        <v>2.6603959799297852E-3</v>
      </c>
      <c r="V12">
        <f t="shared" si="7"/>
        <v>6.4479333191259661E-5</v>
      </c>
      <c r="W12">
        <f t="shared" si="8"/>
        <v>1.8006042296072509</v>
      </c>
      <c r="X12">
        <f t="shared" si="9"/>
        <v>1.2386907336791842E-2</v>
      </c>
    </row>
    <row r="13" spans="1:31" x14ac:dyDescent="0.3">
      <c r="A13">
        <v>26</v>
      </c>
      <c r="B13">
        <v>3</v>
      </c>
      <c r="C13">
        <v>30</v>
      </c>
      <c r="D13">
        <v>0.1</v>
      </c>
      <c r="F13">
        <v>199.5</v>
      </c>
      <c r="G13">
        <v>576.5</v>
      </c>
      <c r="H13">
        <v>0.5</v>
      </c>
      <c r="I13">
        <f t="shared" si="0"/>
        <v>377</v>
      </c>
      <c r="J13">
        <f t="shared" si="1"/>
        <v>1</v>
      </c>
      <c r="L13">
        <v>926</v>
      </c>
      <c r="M13">
        <v>174</v>
      </c>
      <c r="N13">
        <v>2</v>
      </c>
      <c r="O13">
        <v>10</v>
      </c>
      <c r="P13">
        <f t="shared" si="2"/>
        <v>752</v>
      </c>
      <c r="Q13">
        <f t="shared" si="3"/>
        <v>12</v>
      </c>
      <c r="S13">
        <f t="shared" si="4"/>
        <v>1.259185036740147E-5</v>
      </c>
      <c r="T13">
        <f t="shared" si="5"/>
        <v>5.5104251991726919E-8</v>
      </c>
      <c r="U13">
        <f t="shared" si="6"/>
        <v>2.9980596112860643E-3</v>
      </c>
      <c r="V13">
        <f t="shared" si="7"/>
        <v>7.2578088728497025E-5</v>
      </c>
      <c r="W13">
        <f t="shared" si="8"/>
        <v>2.2719033232628401</v>
      </c>
      <c r="X13">
        <f t="shared" si="9"/>
        <v>3.6415849479503985E-2</v>
      </c>
    </row>
    <row r="14" spans="1:31" x14ac:dyDescent="0.3">
      <c r="A14">
        <v>26</v>
      </c>
      <c r="B14">
        <v>13</v>
      </c>
      <c r="C14">
        <v>29.9</v>
      </c>
      <c r="D14">
        <v>0.1</v>
      </c>
      <c r="F14">
        <v>198</v>
      </c>
      <c r="G14">
        <v>574</v>
      </c>
      <c r="H14">
        <v>0.5</v>
      </c>
      <c r="I14">
        <f t="shared" si="0"/>
        <v>376</v>
      </c>
      <c r="J14">
        <f t="shared" si="1"/>
        <v>1</v>
      </c>
      <c r="L14">
        <v>942</v>
      </c>
      <c r="M14">
        <v>279</v>
      </c>
      <c r="N14">
        <v>2</v>
      </c>
      <c r="O14">
        <v>2</v>
      </c>
      <c r="P14">
        <f t="shared" si="2"/>
        <v>663</v>
      </c>
      <c r="Q14">
        <f t="shared" si="3"/>
        <v>4</v>
      </c>
      <c r="S14">
        <f t="shared" si="4"/>
        <v>1.2600451739599601E-5</v>
      </c>
      <c r="T14">
        <f t="shared" si="5"/>
        <v>5.5302786380944353E-8</v>
      </c>
      <c r="U14">
        <f t="shared" si="6"/>
        <v>3.0001075570475241E-3</v>
      </c>
      <c r="V14">
        <f t="shared" si="7"/>
        <v>7.2634600879331815E-5</v>
      </c>
      <c r="W14">
        <f t="shared" si="8"/>
        <v>2.0030211480362539</v>
      </c>
      <c r="X14">
        <f t="shared" si="9"/>
        <v>1.2457620102851751E-2</v>
      </c>
    </row>
    <row r="18" spans="12:19" x14ac:dyDescent="0.3">
      <c r="L18" t="s">
        <v>10</v>
      </c>
    </row>
    <row r="19" spans="12:19" x14ac:dyDescent="0.3">
      <c r="S19" t="s">
        <v>10</v>
      </c>
    </row>
  </sheetData>
  <sortState xmlns:xlrd2="http://schemas.microsoft.com/office/spreadsheetml/2017/richdata2" ref="A2:X15">
    <sortCondition ref="A2:A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2026-03-12T12:24:56Z</dcterms:modified>
</cp:coreProperties>
</file>